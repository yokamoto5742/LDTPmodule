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.docs.live.net/c68729c8098035d1/ドキュメント/自己管理/1.目標管理/プログラミング/Python/プロジェクト/LDTPapp/要件定義/設定ファイル/計画書書式/"/>
    </mc:Choice>
  </mc:AlternateContent>
  <xr:revisionPtr revIDLastSave="31" documentId="13_ncr:1_{14DB63ED-A229-442B-A149-95FFE851B8F5}" xr6:coauthVersionLast="47" xr6:coauthVersionMax="47" xr10:uidLastSave="{655B88F2-BD53-4662-A642-F2D7F802D2AE}"/>
  <bookViews>
    <workbookView xWindow="3828" yWindow="0" windowWidth="17196" windowHeight="12240" xr2:uid="{00000000-000D-0000-FFFF-FFFF00000000}"/>
  </bookViews>
  <sheets>
    <sheet name="共通情報" sheetId="1" r:id="rId1"/>
    <sheet name="初回用" sheetId="2" r:id="rId2"/>
    <sheet name="継続用" sheetId="4" r:id="rId3"/>
  </sheets>
  <definedNames>
    <definedName name="_xlnm.Print_Area" localSheetId="2">継続用!$A$1:$L$38</definedName>
    <definedName name="_xlnm.Print_Area" localSheetId="1">初回用!$A$1:$L$38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36" i="1" l="1"/>
  <c r="F29" i="4" s="1"/>
  <c r="F29" i="2" l="1"/>
  <c r="B38" i="1"/>
  <c r="B39" i="1"/>
  <c r="B25" i="1"/>
  <c r="C20" i="4" s="1"/>
  <c r="B26" i="1"/>
  <c r="C21" i="4" s="1"/>
  <c r="B27" i="1"/>
  <c r="F21" i="4" s="1"/>
  <c r="B28" i="1"/>
  <c r="C22" i="4" s="1"/>
  <c r="B29" i="1"/>
  <c r="F23" i="4" s="1"/>
  <c r="B30" i="1"/>
  <c r="B31" i="1"/>
  <c r="B32" i="1"/>
  <c r="C28" i="4" s="1"/>
  <c r="B33" i="1"/>
  <c r="G28" i="4" s="1"/>
  <c r="B34" i="1"/>
  <c r="D29" i="4" s="1"/>
  <c r="B35" i="1"/>
  <c r="E29" i="4" s="1"/>
  <c r="B37" i="1"/>
  <c r="C18" i="4" l="1"/>
  <c r="C18" i="2"/>
  <c r="C24" i="4"/>
  <c r="C24" i="2"/>
  <c r="D29" i="2"/>
  <c r="E29" i="2"/>
  <c r="B16" i="1" l="1"/>
  <c r="B17" i="1"/>
  <c r="B20" i="1"/>
  <c r="B11" i="4" s="1"/>
  <c r="B22" i="1"/>
  <c r="G16" i="4" s="1"/>
  <c r="B23" i="1"/>
  <c r="C17" i="4" s="1"/>
  <c r="B24" i="1"/>
  <c r="G17" i="4" s="1"/>
  <c r="B10" i="1"/>
  <c r="B11" i="1"/>
  <c r="B12" i="1"/>
  <c r="J5" i="4" s="1"/>
  <c r="B14" i="1"/>
  <c r="B15" i="1"/>
  <c r="B18" i="1"/>
  <c r="B19" i="1"/>
  <c r="B15" i="4" s="1"/>
  <c r="B21" i="1"/>
  <c r="C16" i="4" s="1"/>
  <c r="B3" i="1"/>
  <c r="F5" i="4" s="1"/>
  <c r="B4" i="1"/>
  <c r="B5" i="1"/>
  <c r="G6" i="4" s="1"/>
  <c r="B6" i="1"/>
  <c r="C6" i="4" s="1"/>
  <c r="B7" i="1"/>
  <c r="B8" i="1"/>
  <c r="B9" i="1"/>
  <c r="I35" i="4" s="1"/>
  <c r="B2" i="1"/>
  <c r="C5" i="4" s="1"/>
  <c r="B13" i="4" l="1"/>
  <c r="B11" i="2"/>
  <c r="G16" i="2"/>
  <c r="C16" i="2"/>
  <c r="G28" i="2"/>
  <c r="C28" i="2"/>
  <c r="F23" i="2"/>
  <c r="C22" i="2"/>
  <c r="F21" i="2"/>
  <c r="C21" i="2"/>
  <c r="C20" i="2"/>
  <c r="G17" i="2"/>
  <c r="C17" i="2"/>
  <c r="J4" i="4"/>
  <c r="C26" i="4"/>
  <c r="B14" i="2"/>
  <c r="I9" i="4"/>
  <c r="J9" i="4"/>
  <c r="J9" i="2"/>
  <c r="I9" i="2"/>
  <c r="D9" i="4"/>
  <c r="C9" i="4"/>
  <c r="D9" i="2"/>
  <c r="C9" i="2"/>
  <c r="G9" i="4"/>
  <c r="E9" i="4"/>
  <c r="F9" i="4"/>
  <c r="F9" i="2"/>
  <c r="E9" i="2"/>
  <c r="G9" i="2"/>
  <c r="J5" i="2"/>
  <c r="E6" i="4" l="1"/>
  <c r="E6" i="2"/>
  <c r="F5" i="2"/>
  <c r="G6" i="2"/>
  <c r="C6" i="2"/>
  <c r="J4" i="2"/>
  <c r="I35" i="2"/>
  <c r="C5" i="2"/>
  <c r="C26" i="2" l="1"/>
</calcChain>
</file>

<file path=xl/sharedStrings.xml><?xml version="1.0" encoding="utf-8"?>
<sst xmlns="http://schemas.openxmlformats.org/spreadsheetml/2006/main" count="131" uniqueCount="108">
  <si>
    <t>項目</t>
  </si>
  <si>
    <t>出力結果</t>
  </si>
  <si>
    <t>変数名</t>
  </si>
  <si>
    <t>患者ID</t>
  </si>
  <si>
    <t>patient_id</t>
  </si>
  <si>
    <t>氏名</t>
  </si>
  <si>
    <t>patient_name</t>
  </si>
  <si>
    <t>カナ</t>
  </si>
  <si>
    <t>kana</t>
  </si>
  <si>
    <t>性別</t>
  </si>
  <si>
    <t>gender</t>
  </si>
  <si>
    <t>生年月日</t>
  </si>
  <si>
    <t>birthdate</t>
  </si>
  <si>
    <t>発行日</t>
  </si>
  <si>
    <t>issue_date</t>
  </si>
  <si>
    <t>医師ID</t>
  </si>
  <si>
    <t>doctor_id</t>
  </si>
  <si>
    <t>医師名</t>
  </si>
  <si>
    <t>doctor_name</t>
  </si>
  <si>
    <t>診療科</t>
  </si>
  <si>
    <t>department</t>
  </si>
  <si>
    <t>主病名</t>
  </si>
  <si>
    <t>main_diagnosis</t>
  </si>
  <si>
    <t>作成回数</t>
  </si>
  <si>
    <t>creation_count</t>
  </si>
  <si>
    <t>目標体重</t>
  </si>
  <si>
    <t>target_weight</t>
  </si>
  <si>
    <t>シート名</t>
  </si>
  <si>
    <t>sheet_name</t>
  </si>
  <si>
    <t>達成目標</t>
  </si>
  <si>
    <t>goal1</t>
  </si>
  <si>
    <t>行動目標</t>
  </si>
  <si>
    <t>goal2</t>
  </si>
  <si>
    <t>食事</t>
  </si>
  <si>
    <t>exercise_time</t>
  </si>
  <si>
    <t>exercise_frequency</t>
  </si>
  <si>
    <t>exercise_intensity</t>
  </si>
  <si>
    <t>日常生活の活動量</t>
  </si>
  <si>
    <t>daily_activity</t>
  </si>
  <si>
    <t>非喫煙者</t>
  </si>
  <si>
    <t>nonsmoker</t>
  </si>
  <si>
    <t>smoking_cessation</t>
  </si>
  <si>
    <t>その他1</t>
  </si>
  <si>
    <t>other1</t>
  </si>
  <si>
    <t>その他2</t>
  </si>
  <si>
    <t>other2</t>
  </si>
  <si>
    <t>【目標】</t>
  </si>
  <si>
    <t>【②行動目標】：患者と相談した目標</t>
  </si>
  <si>
    <t>運動</t>
  </si>
  <si>
    <t>たばこ</t>
  </si>
  <si>
    <t>その他</t>
  </si>
  <si>
    <t>医師氏名</t>
  </si>
  <si>
    <t>主病:</t>
    <phoneticPr fontId="1"/>
  </si>
  <si>
    <t>運動処方:</t>
    <phoneticPr fontId="1"/>
  </si>
  <si>
    <t>時間:</t>
    <phoneticPr fontId="1"/>
  </si>
  <si>
    <t>頻度:</t>
    <phoneticPr fontId="1"/>
  </si>
  <si>
    <t>強度:</t>
    <phoneticPr fontId="1"/>
  </si>
  <si>
    <t>日常生活での活動量の増加</t>
    <phoneticPr fontId="1"/>
  </si>
  <si>
    <t>血液検査項目は別紙参照</t>
    <rPh sb="7" eb="11">
      <t>ベッシサンショウ</t>
    </rPh>
    <phoneticPr fontId="1"/>
  </si>
  <si>
    <t>禁煙の実施方法等を指示</t>
    <phoneticPr fontId="1"/>
  </si>
  <si>
    <t xml:space="preserve"> </t>
    <phoneticPr fontId="1"/>
  </si>
  <si>
    <t>【①達成目標】：患者と相談した目標</t>
    <phoneticPr fontId="1"/>
  </si>
  <si>
    <t>性別</t>
    <rPh sb="0" eb="2">
      <t>セイベツ</t>
    </rPh>
    <phoneticPr fontId="1"/>
  </si>
  <si>
    <t>目標</t>
    <phoneticPr fontId="1"/>
  </si>
  <si>
    <t>重点を置く領域と指導項目</t>
    <rPh sb="5" eb="7">
      <t>リョウイキ</t>
    </rPh>
    <phoneticPr fontId="1"/>
  </si>
  <si>
    <t>検査</t>
    <phoneticPr fontId="1"/>
  </si>
  <si>
    <t>印刷+カルテ送信
(継続用)</t>
    <rPh sb="6" eb="8">
      <t>ソウシン</t>
    </rPh>
    <rPh sb="10" eb="12">
      <t>ケイゾク</t>
    </rPh>
    <rPh sb="12" eb="13">
      <t>ヨウ</t>
    </rPh>
    <phoneticPr fontId="1"/>
  </si>
  <si>
    <t>患者ID</t>
    <rPh sb="0" eb="2">
      <t>カンジャ</t>
    </rPh>
    <phoneticPr fontId="1"/>
  </si>
  <si>
    <t>氏名</t>
    <rPh sb="0" eb="2">
      <t>シメイ</t>
    </rPh>
    <phoneticPr fontId="1"/>
  </si>
  <si>
    <t>発行日：</t>
    <rPh sb="0" eb="3">
      <t>ハッコウビ</t>
    </rPh>
    <phoneticPr fontId="1"/>
  </si>
  <si>
    <t>診療科ID</t>
  </si>
  <si>
    <t>department_id</t>
  </si>
  <si>
    <t>目標の達成状況</t>
    <phoneticPr fontId="1"/>
  </si>
  <si>
    <t>食事1</t>
    <phoneticPr fontId="1"/>
  </si>
  <si>
    <t>食事2</t>
  </si>
  <si>
    <t>食事3</t>
  </si>
  <si>
    <t>食事4</t>
  </si>
  <si>
    <t>diet1</t>
    <phoneticPr fontId="1"/>
  </si>
  <si>
    <t>diet2</t>
  </si>
  <si>
    <t>diet3</t>
  </si>
  <si>
    <t>diet4</t>
  </si>
  <si>
    <t>目標血圧</t>
    <rPh sb="0" eb="2">
      <t>モクヒョウ</t>
    </rPh>
    <rPh sb="2" eb="4">
      <t>ケツアツ</t>
    </rPh>
    <phoneticPr fontId="1"/>
  </si>
  <si>
    <t>目標HbA1c</t>
    <rPh sb="0" eb="2">
      <t>モクヒョウ</t>
    </rPh>
    <phoneticPr fontId="1"/>
  </si>
  <si>
    <t>target_bp</t>
    <phoneticPr fontId="1"/>
  </si>
  <si>
    <t xml:space="preserve">target_hba1c </t>
    <phoneticPr fontId="1"/>
  </si>
  <si>
    <t>target_achievement</t>
    <phoneticPr fontId="1"/>
  </si>
  <si>
    <t>初回用</t>
    <rPh sb="0" eb="2">
      <t>ショカイ</t>
    </rPh>
    <rPh sb="2" eb="3">
      <t>ヨウ</t>
    </rPh>
    <phoneticPr fontId="1"/>
  </si>
  <si>
    <t>生活習慣病療養計画書</t>
    <phoneticPr fontId="1"/>
  </si>
  <si>
    <t>【②達成目標】：患者と相談した目標</t>
    <phoneticPr fontId="1"/>
  </si>
  <si>
    <t>【③行動目標】：患者と相談した目標</t>
    <phoneticPr fontId="1"/>
  </si>
  <si>
    <t>【①目標の達成状況】</t>
    <rPh sb="2" eb="4">
      <t>モクヒョウ</t>
    </rPh>
    <rPh sb="5" eb="9">
      <t>タッセイジョウキョウ</t>
    </rPh>
    <phoneticPr fontId="1"/>
  </si>
  <si>
    <t>ophthalmology</t>
    <phoneticPr fontId="1"/>
  </si>
  <si>
    <t>dental</t>
  </si>
  <si>
    <t>受診勧奨</t>
    <rPh sb="0" eb="4">
      <t>ジュシンカンショウ</t>
    </rPh>
    <phoneticPr fontId="1"/>
  </si>
  <si>
    <t>眼科受診勧奨</t>
    <rPh sb="2" eb="6">
      <t>ジュシンカンショウ</t>
    </rPh>
    <phoneticPr fontId="1"/>
  </si>
  <si>
    <t>歯科受診勧奨</t>
    <rPh sb="0" eb="2">
      <t>シカ</t>
    </rPh>
    <rPh sb="2" eb="6">
      <t>ジュシンカンショウ</t>
    </rPh>
    <phoneticPr fontId="1"/>
  </si>
  <si>
    <t>発行日年齢</t>
    <rPh sb="3" eb="5">
      <t>ネンレイ</t>
    </rPh>
    <phoneticPr fontId="1"/>
  </si>
  <si>
    <t>issue_date_age</t>
    <phoneticPr fontId="1"/>
  </si>
  <si>
    <t>diet_comment</t>
    <phoneticPr fontId="1"/>
  </si>
  <si>
    <t>exercise_prescription</t>
    <phoneticPr fontId="1"/>
  </si>
  <si>
    <t>exercise_comment</t>
    <phoneticPr fontId="1"/>
  </si>
  <si>
    <t>(65文字)</t>
    <rPh sb="3" eb="5">
      <t>モジ</t>
    </rPh>
    <phoneticPr fontId="1"/>
  </si>
  <si>
    <t>食事フリーコメント</t>
    <phoneticPr fontId="1"/>
  </si>
  <si>
    <t>運動フリーコメント</t>
    <phoneticPr fontId="1"/>
  </si>
  <si>
    <t>がん検診受診勧奨</t>
    <rPh sb="2" eb="4">
      <t>ケンシン</t>
    </rPh>
    <rPh sb="4" eb="8">
      <t>ジュシンカンショウ</t>
    </rPh>
    <phoneticPr fontId="1"/>
  </si>
  <si>
    <t>cancer_screening</t>
    <phoneticPr fontId="1"/>
  </si>
  <si>
    <t>継続用</t>
    <rPh sb="0" eb="2">
      <t>ケイゾク</t>
    </rPh>
    <rPh sb="2" eb="3">
      <t>ヨウ</t>
    </rPh>
    <phoneticPr fontId="1"/>
  </si>
  <si>
    <t>ねらい：検査結果を理解できること･自分の生活上の問題点を抽出し、目標を設定できること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</si>
</sst>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76" formatCode="General&quot;才&quot;"/>
    <numFmt numFmtId="177" formatCode="yyyy&quot;年&quot;m&quot;月&quot;d&quot;日&quot;;@"/>
    <numFmt numFmtId="178" formatCode="0_ "/>
  </numFmts>
  <fonts count="13"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16"/>
      <name val="ＭＳ Ｐゴシック"/>
      <family val="3"/>
      <charset val="128"/>
      <scheme val="minor"/>
    </font>
    <font>
      <sz val="11"/>
      <name val="ＭＳ Ｐゴシック"/>
      <family val="3"/>
      <charset val="128"/>
      <scheme val="minor"/>
    </font>
    <font>
      <sz val="14"/>
      <name val="ＭＳ Ｐゴシック"/>
      <family val="3"/>
      <charset val="128"/>
      <scheme val="minor"/>
    </font>
    <font>
      <sz val="12"/>
      <color theme="1"/>
      <name val="ＭＳ Ｐゴシック"/>
      <family val="3"/>
      <charset val="128"/>
    </font>
    <font>
      <sz val="12"/>
      <name val="ＭＳ Ｐゴシック"/>
      <family val="3"/>
      <charset val="128"/>
      <scheme val="minor"/>
    </font>
    <font>
      <sz val="12"/>
      <color theme="1"/>
      <name val="ＭＳ Ｐゴシック"/>
      <family val="3"/>
      <charset val="128"/>
      <scheme val="minor"/>
    </font>
    <font>
      <b/>
      <sz val="12"/>
      <name val="ＭＳ Ｐゴシック"/>
      <family val="3"/>
      <charset val="128"/>
      <scheme val="minor"/>
    </font>
    <font>
      <sz val="11"/>
      <color rgb="FF000000"/>
      <name val="ＭＳ Ｐゴシック"/>
      <family val="3"/>
      <charset val="128"/>
    </font>
    <font>
      <sz val="20"/>
      <name val="ＭＳ Ｐゴシック"/>
      <family val="3"/>
      <charset val="128"/>
      <scheme val="minor"/>
    </font>
    <font>
      <sz val="20"/>
      <color theme="1"/>
      <name val="ＭＳ Ｐゴシック"/>
      <family val="3"/>
      <charset val="128"/>
      <scheme val="minor"/>
    </font>
    <font>
      <b/>
      <sz val="14"/>
      <name val="ＭＳ Ｐゴシック"/>
      <family val="3"/>
      <charset val="128"/>
      <scheme val="minor"/>
    </font>
  </fonts>
  <fills count="3">
    <fill>
      <patternFill patternType="none"/>
    </fill>
    <fill>
      <patternFill patternType="gray125"/>
    </fill>
    <fill>
      <patternFill patternType="solid">
        <fgColor theme="2" tint="-9.9978637043366805E-2"/>
        <bgColor indexed="64"/>
      </patternFill>
    </fill>
  </fills>
  <borders count="36">
    <border>
      <left/>
      <right/>
      <top/>
      <bottom/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/>
      <right/>
      <top style="thick">
        <color auto="1"/>
      </top>
      <bottom/>
      <diagonal/>
    </border>
    <border>
      <left/>
      <right style="thick">
        <color auto="1"/>
      </right>
      <top style="thick">
        <color auto="1"/>
      </top>
      <bottom/>
      <diagonal/>
    </border>
    <border>
      <left/>
      <right style="thick">
        <color auto="1"/>
      </right>
      <top/>
      <bottom/>
      <diagonal/>
    </border>
    <border>
      <left/>
      <right/>
      <top/>
      <bottom style="thick">
        <color auto="1"/>
      </bottom>
      <diagonal/>
    </border>
    <border>
      <left/>
      <right style="thick">
        <color auto="1"/>
      </right>
      <top/>
      <bottom style="thick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ck">
        <color auto="1"/>
      </right>
      <top style="medium">
        <color auto="1"/>
      </top>
      <bottom/>
      <diagonal/>
    </border>
    <border>
      <left style="thick">
        <color auto="1"/>
      </left>
      <right style="medium">
        <color auto="1"/>
      </right>
      <top/>
      <bottom/>
      <diagonal/>
    </border>
    <border>
      <left style="thick">
        <color auto="1"/>
      </left>
      <right style="medium">
        <color auto="1"/>
      </right>
      <top/>
      <bottom style="thick">
        <color auto="1"/>
      </bottom>
      <diagonal/>
    </border>
    <border>
      <left style="thick">
        <color auto="1"/>
      </left>
      <right style="medium">
        <color auto="1"/>
      </right>
      <top style="thick">
        <color auto="1"/>
      </top>
      <bottom style="medium">
        <color auto="1"/>
      </bottom>
      <diagonal/>
    </border>
    <border>
      <left style="thick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thick">
        <color auto="1"/>
      </right>
      <top/>
      <bottom style="medium">
        <color auto="1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thick">
        <color auto="1"/>
      </left>
      <right style="medium">
        <color auto="1"/>
      </right>
      <top style="medium">
        <color auto="1"/>
      </top>
      <bottom style="thick">
        <color auto="1"/>
      </bottom>
      <diagonal/>
    </border>
    <border>
      <left style="thick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ck">
        <color auto="1"/>
      </left>
      <right/>
      <top style="thick">
        <color auto="1"/>
      </top>
      <bottom style="thick">
        <color auto="1"/>
      </bottom>
      <diagonal/>
    </border>
    <border>
      <left/>
      <right/>
      <top style="thick">
        <color auto="1"/>
      </top>
      <bottom style="thick">
        <color auto="1"/>
      </bottom>
      <diagonal/>
    </border>
    <border>
      <left/>
      <right style="thick">
        <color auto="1"/>
      </right>
      <top style="thick">
        <color auto="1"/>
      </top>
      <bottom style="thick">
        <color auto="1"/>
      </bottom>
      <diagonal/>
    </border>
  </borders>
  <cellStyleXfs count="1">
    <xf numFmtId="0" fontId="0" fillId="0" borderId="0">
      <alignment vertical="center"/>
    </xf>
  </cellStyleXfs>
  <cellXfs count="94">
    <xf numFmtId="0" fontId="0" fillId="0" borderId="0" xfId="0">
      <alignment vertical="center"/>
    </xf>
    <xf numFmtId="0" fontId="3" fillId="0" borderId="0" xfId="0" applyFont="1">
      <alignment vertical="center"/>
    </xf>
    <xf numFmtId="0" fontId="3" fillId="0" borderId="9" xfId="0" applyFont="1" applyBorder="1">
      <alignment vertical="center"/>
    </xf>
    <xf numFmtId="0" fontId="3" fillId="0" borderId="2" xfId="0" applyFont="1" applyBorder="1">
      <alignment vertical="center"/>
    </xf>
    <xf numFmtId="0" fontId="3" fillId="0" borderId="14" xfId="0" applyFont="1" applyBorder="1">
      <alignment vertical="center"/>
    </xf>
    <xf numFmtId="0" fontId="3" fillId="0" borderId="10" xfId="0" applyFont="1" applyBorder="1">
      <alignment vertical="center"/>
    </xf>
    <xf numFmtId="0" fontId="3" fillId="0" borderId="11" xfId="0" applyFont="1" applyBorder="1">
      <alignment vertical="center"/>
    </xf>
    <xf numFmtId="0" fontId="0" fillId="0" borderId="0" xfId="0" applyAlignment="1"/>
    <xf numFmtId="0" fontId="2" fillId="0" borderId="0" xfId="0" applyFont="1" applyAlignment="1"/>
    <xf numFmtId="0" fontId="3" fillId="0" borderId="0" xfId="0" applyFont="1" applyAlignment="1"/>
    <xf numFmtId="0" fontId="7" fillId="0" borderId="7" xfId="0" applyFont="1" applyBorder="1" applyAlignment="1">
      <alignment horizontal="right" vertical="center"/>
    </xf>
    <xf numFmtId="0" fontId="6" fillId="0" borderId="7" xfId="0" applyFont="1" applyBorder="1" applyAlignment="1">
      <alignment horizontal="left" vertical="center"/>
    </xf>
    <xf numFmtId="0" fontId="6" fillId="0" borderId="0" xfId="0" applyFont="1">
      <alignment vertical="center"/>
    </xf>
    <xf numFmtId="0" fontId="6" fillId="0" borderId="9" xfId="0" applyFont="1" applyBorder="1">
      <alignment vertical="center"/>
    </xf>
    <xf numFmtId="0" fontId="6" fillId="0" borderId="9" xfId="0" applyFont="1" applyBorder="1" applyAlignment="1">
      <alignment horizontal="center" vertical="center"/>
    </xf>
    <xf numFmtId="0" fontId="6" fillId="0" borderId="5" xfId="0" applyFont="1" applyBorder="1">
      <alignment vertical="center"/>
    </xf>
    <xf numFmtId="0" fontId="6" fillId="0" borderId="19" xfId="0" applyFont="1" applyBorder="1">
      <alignment vertical="center"/>
    </xf>
    <xf numFmtId="0" fontId="6" fillId="0" borderId="1" xfId="0" applyFont="1" applyBorder="1">
      <alignment vertical="center"/>
    </xf>
    <xf numFmtId="0" fontId="6" fillId="0" borderId="2" xfId="0" applyFont="1" applyBorder="1">
      <alignment vertical="center"/>
    </xf>
    <xf numFmtId="0" fontId="6" fillId="0" borderId="14" xfId="0" applyFont="1" applyBorder="1">
      <alignment vertical="center"/>
    </xf>
    <xf numFmtId="0" fontId="6" fillId="0" borderId="4" xfId="0" applyFont="1" applyBorder="1">
      <alignment vertical="center"/>
    </xf>
    <xf numFmtId="0" fontId="6" fillId="0" borderId="27" xfId="0" applyFont="1" applyBorder="1">
      <alignment vertical="center"/>
    </xf>
    <xf numFmtId="0" fontId="8" fillId="0" borderId="0" xfId="0" applyFont="1" applyAlignment="1">
      <alignment shrinkToFit="1"/>
    </xf>
    <xf numFmtId="0" fontId="6" fillId="0" borderId="0" xfId="0" applyFont="1" applyAlignment="1">
      <alignment horizontal="right"/>
    </xf>
    <xf numFmtId="0" fontId="6" fillId="0" borderId="29" xfId="0" applyFont="1" applyBorder="1" applyAlignment="1">
      <alignment horizontal="center" vertical="center"/>
    </xf>
    <xf numFmtId="0" fontId="6" fillId="0" borderId="29" xfId="0" applyFont="1" applyBorder="1">
      <alignment vertical="center"/>
    </xf>
    <xf numFmtId="176" fontId="6" fillId="0" borderId="29" xfId="0" applyNumberFormat="1" applyFont="1" applyBorder="1" applyAlignment="1">
      <alignment horizontal="center" vertical="center"/>
    </xf>
    <xf numFmtId="176" fontId="6" fillId="0" borderId="13" xfId="0" applyNumberFormat="1" applyFont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6" fillId="0" borderId="7" xfId="0" applyFont="1" applyBorder="1" applyAlignment="1">
      <alignment horizontal="center" vertical="center"/>
    </xf>
    <xf numFmtId="0" fontId="6" fillId="0" borderId="7" xfId="0" applyFont="1" applyBorder="1" applyAlignment="1">
      <alignment horizontal="right" vertical="center"/>
    </xf>
    <xf numFmtId="0" fontId="6" fillId="0" borderId="0" xfId="0" applyFont="1" applyAlignment="1">
      <alignment horizontal="left" vertical="center"/>
    </xf>
    <xf numFmtId="0" fontId="7" fillId="0" borderId="0" xfId="0" applyFont="1" applyAlignment="1">
      <alignment horizontal="left" vertical="center"/>
    </xf>
    <xf numFmtId="0" fontId="3" fillId="0" borderId="0" xfId="0" applyFont="1" applyAlignment="1">
      <alignment vertical="center" wrapText="1"/>
    </xf>
    <xf numFmtId="0" fontId="7" fillId="0" borderId="0" xfId="0" applyFont="1">
      <alignment vertical="center"/>
    </xf>
    <xf numFmtId="0" fontId="0" fillId="0" borderId="0" xfId="0" applyAlignment="1">
      <alignment vertical="center" shrinkToFit="1"/>
    </xf>
    <xf numFmtId="0" fontId="5" fillId="0" borderId="0" xfId="0" applyFont="1">
      <alignment vertical="center"/>
    </xf>
    <xf numFmtId="0" fontId="6" fillId="0" borderId="7" xfId="0" applyFont="1" applyBorder="1">
      <alignment vertical="center"/>
    </xf>
    <xf numFmtId="178" fontId="7" fillId="0" borderId="7" xfId="0" applyNumberFormat="1" applyFont="1" applyBorder="1" applyAlignment="1">
      <alignment horizontal="left" vertical="center"/>
    </xf>
    <xf numFmtId="0" fontId="6" fillId="0" borderId="8" xfId="0" applyFont="1" applyBorder="1">
      <alignment vertical="center"/>
    </xf>
    <xf numFmtId="0" fontId="6" fillId="0" borderId="0" xfId="0" applyFont="1" applyAlignment="1">
      <alignment horizontal="center" vertical="center"/>
    </xf>
    <xf numFmtId="0" fontId="6" fillId="0" borderId="32" xfId="0" applyFont="1" applyBorder="1">
      <alignment vertical="center"/>
    </xf>
    <xf numFmtId="177" fontId="6" fillId="0" borderId="0" xfId="0" applyNumberFormat="1" applyFont="1" applyAlignment="1">
      <alignment horizontal="center" vertical="center"/>
    </xf>
    <xf numFmtId="177" fontId="7" fillId="0" borderId="0" xfId="0" applyNumberFormat="1" applyFont="1" applyAlignment="1"/>
    <xf numFmtId="176" fontId="6" fillId="0" borderId="0" xfId="0" applyNumberFormat="1" applyFont="1" applyAlignment="1">
      <alignment horizontal="center" vertical="center"/>
    </xf>
    <xf numFmtId="0" fontId="11" fillId="0" borderId="0" xfId="0" applyFont="1" applyAlignment="1">
      <alignment horizontal="right"/>
    </xf>
    <xf numFmtId="0" fontId="11" fillId="0" borderId="0" xfId="0" applyFont="1" applyAlignment="1">
      <alignment horizontal="left" shrinkToFit="1"/>
    </xf>
    <xf numFmtId="0" fontId="5" fillId="2" borderId="0" xfId="0" applyFont="1" applyFill="1">
      <alignment vertical="center"/>
    </xf>
    <xf numFmtId="0" fontId="0" fillId="2" borderId="0" xfId="0" applyFill="1">
      <alignment vertical="center"/>
    </xf>
    <xf numFmtId="0" fontId="6" fillId="0" borderId="0" xfId="0" applyFont="1">
      <alignment vertical="center"/>
    </xf>
    <xf numFmtId="177" fontId="6" fillId="0" borderId="5" xfId="0" applyNumberFormat="1" applyFont="1" applyBorder="1" applyAlignment="1">
      <alignment horizontal="left" shrinkToFit="1"/>
    </xf>
    <xf numFmtId="0" fontId="10" fillId="0" borderId="22" xfId="0" applyFont="1" applyBorder="1" applyAlignment="1">
      <alignment horizontal="right" vertical="center"/>
    </xf>
    <xf numFmtId="0" fontId="11" fillId="0" borderId="4" xfId="0" applyFont="1" applyBorder="1" applyAlignment="1">
      <alignment horizontal="right"/>
    </xf>
    <xf numFmtId="177" fontId="6" fillId="0" borderId="28" xfId="0" applyNumberFormat="1" applyFont="1" applyBorder="1" applyAlignment="1">
      <alignment horizontal="center" vertical="center"/>
    </xf>
    <xf numFmtId="177" fontId="7" fillId="0" borderId="12" xfId="0" applyNumberFormat="1" applyFont="1" applyBorder="1" applyAlignment="1"/>
    <xf numFmtId="0" fontId="12" fillId="0" borderId="30" xfId="0" applyFont="1" applyBorder="1" applyAlignment="1">
      <alignment shrinkToFit="1"/>
    </xf>
    <xf numFmtId="0" fontId="10" fillId="0" borderId="23" xfId="0" applyFont="1" applyBorder="1" applyAlignment="1">
      <alignment horizontal="left" vertical="center" shrinkToFit="1"/>
    </xf>
    <xf numFmtId="0" fontId="11" fillId="0" borderId="2" xfId="0" applyFont="1" applyBorder="1" applyAlignment="1">
      <alignment horizontal="left" shrinkToFit="1"/>
    </xf>
    <xf numFmtId="0" fontId="11" fillId="0" borderId="3" xfId="0" applyFont="1" applyBorder="1" applyAlignment="1">
      <alignment horizontal="left" shrinkToFit="1"/>
    </xf>
    <xf numFmtId="0" fontId="11" fillId="0" borderId="5" xfId="0" applyFont="1" applyBorder="1" applyAlignment="1">
      <alignment horizontal="left" shrinkToFit="1"/>
    </xf>
    <xf numFmtId="0" fontId="11" fillId="0" borderId="6" xfId="0" applyFont="1" applyBorder="1" applyAlignment="1">
      <alignment horizontal="left" shrinkToFit="1"/>
    </xf>
    <xf numFmtId="0" fontId="6" fillId="0" borderId="29" xfId="0" applyFont="1" applyBorder="1">
      <alignment vertical="center"/>
    </xf>
    <xf numFmtId="0" fontId="6" fillId="0" borderId="29" xfId="0" applyFont="1" applyBorder="1" applyAlignment="1">
      <alignment horizontal="center" vertical="center"/>
    </xf>
    <xf numFmtId="0" fontId="6" fillId="0" borderId="29" xfId="0" applyFont="1" applyBorder="1" applyAlignment="1">
      <alignment horizontal="center" vertical="center" shrinkToFit="1"/>
    </xf>
    <xf numFmtId="0" fontId="3" fillId="0" borderId="33" xfId="0" applyFont="1" applyBorder="1" applyAlignment="1">
      <alignment horizontal="center" vertical="center"/>
    </xf>
    <xf numFmtId="0" fontId="3" fillId="0" borderId="34" xfId="0" applyFont="1" applyBorder="1" applyAlignment="1">
      <alignment horizontal="center" vertical="center"/>
    </xf>
    <xf numFmtId="0" fontId="3" fillId="0" borderId="35" xfId="0" applyFont="1" applyBorder="1" applyAlignment="1">
      <alignment horizontal="center" vertical="center"/>
    </xf>
    <xf numFmtId="0" fontId="3" fillId="0" borderId="0" xfId="0" applyFont="1" applyAlignment="1">
      <alignment horizontal="center" vertical="center" wrapText="1"/>
    </xf>
    <xf numFmtId="0" fontId="0" fillId="0" borderId="0" xfId="0" applyAlignment="1"/>
    <xf numFmtId="0" fontId="6" fillId="0" borderId="26" xfId="0" applyFont="1" applyBorder="1" applyAlignment="1">
      <alignment horizontal="center" vertical="center"/>
    </xf>
    <xf numFmtId="0" fontId="7" fillId="0" borderId="20" xfId="0" applyFont="1" applyBorder="1" applyAlignment="1"/>
    <xf numFmtId="0" fontId="7" fillId="0" borderId="21" xfId="0" applyFont="1" applyBorder="1" applyAlignment="1"/>
    <xf numFmtId="0" fontId="3" fillId="0" borderId="24" xfId="0" applyFont="1" applyBorder="1" applyAlignment="1">
      <alignment vertical="center" textRotation="255"/>
    </xf>
    <xf numFmtId="0" fontId="0" fillId="0" borderId="15" xfId="0" applyBorder="1" applyAlignment="1"/>
    <xf numFmtId="0" fontId="0" fillId="0" borderId="16" xfId="0" applyBorder="1" applyAlignment="1"/>
    <xf numFmtId="0" fontId="3" fillId="0" borderId="17" xfId="0" applyFont="1" applyBorder="1" applyAlignment="1">
      <alignment vertical="center" textRotation="255"/>
    </xf>
    <xf numFmtId="0" fontId="0" fillId="0" borderId="25" xfId="0" applyBorder="1" applyAlignment="1"/>
    <xf numFmtId="0" fontId="6" fillId="0" borderId="28" xfId="0" applyFont="1" applyBorder="1" applyAlignment="1">
      <alignment horizontal="center" vertical="center"/>
    </xf>
    <xf numFmtId="0" fontId="6" fillId="0" borderId="13" xfId="0" applyFont="1" applyBorder="1" applyAlignment="1">
      <alignment horizontal="center" vertical="center"/>
    </xf>
    <xf numFmtId="0" fontId="7" fillId="0" borderId="12" xfId="0" applyFont="1" applyBorder="1" applyAlignment="1">
      <alignment horizontal="center" vertical="center"/>
    </xf>
    <xf numFmtId="0" fontId="7" fillId="0" borderId="13" xfId="0" applyFont="1" applyBorder="1" applyAlignment="1">
      <alignment horizontal="center" vertical="center"/>
    </xf>
    <xf numFmtId="0" fontId="6" fillId="0" borderId="27" xfId="0" applyFont="1" applyBorder="1" applyAlignment="1">
      <alignment horizontal="left" vertical="center"/>
    </xf>
    <xf numFmtId="0" fontId="6" fillId="0" borderId="0" xfId="0" applyFont="1" applyAlignment="1">
      <alignment horizontal="left" vertical="center"/>
    </xf>
    <xf numFmtId="0" fontId="3" fillId="0" borderId="18" xfId="0" applyFont="1" applyBorder="1" applyAlignment="1">
      <alignment vertical="center" textRotation="255"/>
    </xf>
    <xf numFmtId="0" fontId="6" fillId="0" borderId="31" xfId="0" applyFont="1" applyBorder="1" applyAlignment="1">
      <alignment horizontal="center" vertical="center"/>
    </xf>
    <xf numFmtId="0" fontId="6" fillId="0" borderId="20" xfId="0" applyFont="1" applyBorder="1" applyAlignment="1">
      <alignment horizontal="center" vertical="center"/>
    </xf>
    <xf numFmtId="0" fontId="6" fillId="0" borderId="21" xfId="0" applyFont="1" applyBorder="1" applyAlignment="1">
      <alignment horizontal="center" vertical="center"/>
    </xf>
    <xf numFmtId="0" fontId="6" fillId="0" borderId="27" xfId="0" applyFont="1" applyBorder="1" applyAlignment="1">
      <alignment horizontal="left" vertical="center" wrapText="1"/>
    </xf>
    <xf numFmtId="0" fontId="6" fillId="0" borderId="0" xfId="0" applyFont="1" applyAlignment="1">
      <alignment horizontal="left" vertical="center" wrapText="1"/>
    </xf>
    <xf numFmtId="0" fontId="6" fillId="0" borderId="9" xfId="0" applyFont="1" applyBorder="1" applyAlignment="1">
      <alignment horizontal="left" vertical="center" wrapText="1"/>
    </xf>
    <xf numFmtId="0" fontId="6" fillId="0" borderId="4" xfId="0" applyFont="1" applyBorder="1" applyAlignment="1">
      <alignment horizontal="left" vertical="center" wrapText="1"/>
    </xf>
    <xf numFmtId="0" fontId="6" fillId="0" borderId="5" xfId="0" applyFont="1" applyBorder="1" applyAlignment="1">
      <alignment horizontal="left" vertical="center" wrapText="1"/>
    </xf>
    <xf numFmtId="0" fontId="6" fillId="0" borderId="19" xfId="0" applyFont="1" applyBorder="1" applyAlignment="1">
      <alignment horizontal="left" vertical="center" wrapText="1"/>
    </xf>
    <xf numFmtId="0" fontId="6" fillId="0" borderId="0" xfId="0" applyFont="1" applyBorder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594360</xdr:colOff>
          <xdr:row>11</xdr:row>
          <xdr:rowOff>0</xdr:rowOff>
        </xdr:from>
        <xdr:to>
          <xdr:col>14</xdr:col>
          <xdr:colOff>647700</xdr:colOff>
          <xdr:row>13</xdr:row>
          <xdr:rowOff>30480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2枚印刷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7</xdr:row>
          <xdr:rowOff>266700</xdr:rowOff>
        </xdr:from>
        <xdr:to>
          <xdr:col>15</xdr:col>
          <xdr:colOff>0</xdr:colOff>
          <xdr:row>9</xdr:row>
          <xdr:rowOff>243840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印刷+カルテ送信</a:t>
              </a: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(当日発行) 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7620</xdr:colOff>
          <xdr:row>7</xdr:row>
          <xdr:rowOff>251460</xdr:rowOff>
        </xdr:from>
        <xdr:to>
          <xdr:col>15</xdr:col>
          <xdr:colOff>30480</xdr:colOff>
          <xdr:row>9</xdr:row>
          <xdr:rowOff>243840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2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印刷+カルテ送信</a:t>
              </a: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(当日発行)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601980</xdr:colOff>
          <xdr:row>11</xdr:row>
          <xdr:rowOff>0</xdr:rowOff>
        </xdr:from>
        <xdr:to>
          <xdr:col>15</xdr:col>
          <xdr:colOff>7620</xdr:colOff>
          <xdr:row>13</xdr:row>
          <xdr:rowOff>22860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2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2枚印刷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D39"/>
  <sheetViews>
    <sheetView tabSelected="1" zoomScaleNormal="100" workbookViewId="0"/>
  </sheetViews>
  <sheetFormatPr defaultRowHeight="13.2" x14ac:dyDescent="0.2"/>
  <cols>
    <col min="1" max="1" width="22.44140625" customWidth="1"/>
    <col min="2" max="2" width="64.109375" style="35" customWidth="1"/>
    <col min="3" max="3" width="18.21875" style="7" customWidth="1"/>
  </cols>
  <sheetData>
    <row r="1" spans="1:3" x14ac:dyDescent="0.2">
      <c r="A1" t="s">
        <v>0</v>
      </c>
      <c r="B1" s="35" t="s">
        <v>1</v>
      </c>
      <c r="C1" t="s">
        <v>2</v>
      </c>
    </row>
    <row r="2" spans="1:3" x14ac:dyDescent="0.2">
      <c r="A2" t="s">
        <v>3</v>
      </c>
      <c r="B2" t="str">
        <f>""</f>
        <v/>
      </c>
      <c r="C2" t="s">
        <v>4</v>
      </c>
    </row>
    <row r="3" spans="1:3" x14ac:dyDescent="0.2">
      <c r="A3" t="s">
        <v>5</v>
      </c>
      <c r="B3" t="str">
        <f>""</f>
        <v/>
      </c>
      <c r="C3" t="s">
        <v>6</v>
      </c>
    </row>
    <row r="4" spans="1:3" x14ac:dyDescent="0.2">
      <c r="A4" t="s">
        <v>7</v>
      </c>
      <c r="B4" t="str">
        <f>""</f>
        <v/>
      </c>
      <c r="C4" t="s">
        <v>8</v>
      </c>
    </row>
    <row r="5" spans="1:3" x14ac:dyDescent="0.2">
      <c r="A5" t="s">
        <v>9</v>
      </c>
      <c r="B5" t="str">
        <f>""</f>
        <v/>
      </c>
      <c r="C5" t="s">
        <v>10</v>
      </c>
    </row>
    <row r="6" spans="1:3" x14ac:dyDescent="0.2">
      <c r="A6" t="s">
        <v>11</v>
      </c>
      <c r="B6" t="str">
        <f>""</f>
        <v/>
      </c>
      <c r="C6" t="s">
        <v>12</v>
      </c>
    </row>
    <row r="7" spans="1:3" x14ac:dyDescent="0.2">
      <c r="A7" t="s">
        <v>13</v>
      </c>
      <c r="B7" t="str">
        <f>""</f>
        <v/>
      </c>
      <c r="C7" t="s">
        <v>14</v>
      </c>
    </row>
    <row r="8" spans="1:3" x14ac:dyDescent="0.2">
      <c r="A8" t="s">
        <v>15</v>
      </c>
      <c r="B8" t="str">
        <f>""</f>
        <v/>
      </c>
      <c r="C8" t="s">
        <v>16</v>
      </c>
    </row>
    <row r="9" spans="1:3" x14ac:dyDescent="0.2">
      <c r="A9" t="s">
        <v>17</v>
      </c>
      <c r="B9" t="str">
        <f>""</f>
        <v/>
      </c>
      <c r="C9" t="s">
        <v>18</v>
      </c>
    </row>
    <row r="10" spans="1:3" x14ac:dyDescent="0.2">
      <c r="A10" t="s">
        <v>70</v>
      </c>
      <c r="B10" t="str">
        <f>""</f>
        <v/>
      </c>
      <c r="C10" t="s">
        <v>71</v>
      </c>
    </row>
    <row r="11" spans="1:3" x14ac:dyDescent="0.2">
      <c r="A11" t="s">
        <v>19</v>
      </c>
      <c r="B11" t="str">
        <f>""</f>
        <v/>
      </c>
      <c r="C11" t="s">
        <v>20</v>
      </c>
    </row>
    <row r="12" spans="1:3" ht="14.4" customHeight="1" x14ac:dyDescent="0.2">
      <c r="A12" s="36" t="s">
        <v>21</v>
      </c>
      <c r="B12" t="str">
        <f>""</f>
        <v/>
      </c>
      <c r="C12" t="s">
        <v>22</v>
      </c>
    </row>
    <row r="13" spans="1:3" ht="14.4" customHeight="1" x14ac:dyDescent="0.2">
      <c r="A13" s="47" t="s">
        <v>23</v>
      </c>
      <c r="B13" s="48"/>
      <c r="C13" s="48" t="s">
        <v>24</v>
      </c>
    </row>
    <row r="14" spans="1:3" ht="14.4" customHeight="1" x14ac:dyDescent="0.2">
      <c r="A14" s="36" t="s">
        <v>25</v>
      </c>
      <c r="B14" t="str">
        <f>""</f>
        <v/>
      </c>
      <c r="C14" t="s">
        <v>26</v>
      </c>
    </row>
    <row r="15" spans="1:3" ht="14.4" customHeight="1" x14ac:dyDescent="0.2">
      <c r="A15" s="36" t="s">
        <v>27</v>
      </c>
      <c r="B15" t="str">
        <f>""</f>
        <v/>
      </c>
      <c r="C15" t="s">
        <v>28</v>
      </c>
    </row>
    <row r="16" spans="1:3" ht="14.4" customHeight="1" x14ac:dyDescent="0.2">
      <c r="A16" s="36" t="s">
        <v>81</v>
      </c>
      <c r="B16" t="str">
        <f>""</f>
        <v/>
      </c>
      <c r="C16" t="s">
        <v>83</v>
      </c>
    </row>
    <row r="17" spans="1:3" ht="14.4" customHeight="1" x14ac:dyDescent="0.2">
      <c r="A17" s="36" t="s">
        <v>82</v>
      </c>
      <c r="B17" t="str">
        <f>""</f>
        <v/>
      </c>
      <c r="C17" t="s">
        <v>84</v>
      </c>
    </row>
    <row r="18" spans="1:3" x14ac:dyDescent="0.2">
      <c r="A18" t="s">
        <v>29</v>
      </c>
      <c r="B18" t="str">
        <f>""</f>
        <v/>
      </c>
      <c r="C18" t="s">
        <v>30</v>
      </c>
    </row>
    <row r="19" spans="1:3" x14ac:dyDescent="0.2">
      <c r="A19" t="s">
        <v>31</v>
      </c>
      <c r="B19" t="str">
        <f>""</f>
        <v/>
      </c>
      <c r="C19" t="s">
        <v>32</v>
      </c>
    </row>
    <row r="20" spans="1:3" x14ac:dyDescent="0.2">
      <c r="A20" t="s">
        <v>72</v>
      </c>
      <c r="B20" t="str">
        <f>""</f>
        <v/>
      </c>
      <c r="C20" t="s">
        <v>85</v>
      </c>
    </row>
    <row r="21" spans="1:3" x14ac:dyDescent="0.2">
      <c r="A21" t="s">
        <v>73</v>
      </c>
      <c r="B21" t="str">
        <f>""</f>
        <v/>
      </c>
      <c r="C21" t="s">
        <v>77</v>
      </c>
    </row>
    <row r="22" spans="1:3" x14ac:dyDescent="0.2">
      <c r="A22" t="s">
        <v>74</v>
      </c>
      <c r="B22" t="str">
        <f>""</f>
        <v/>
      </c>
      <c r="C22" t="s">
        <v>78</v>
      </c>
    </row>
    <row r="23" spans="1:3" x14ac:dyDescent="0.2">
      <c r="A23" t="s">
        <v>75</v>
      </c>
      <c r="B23" t="str">
        <f>""</f>
        <v/>
      </c>
      <c r="C23" t="s">
        <v>79</v>
      </c>
    </row>
    <row r="24" spans="1:3" x14ac:dyDescent="0.2">
      <c r="A24" t="s">
        <v>76</v>
      </c>
      <c r="B24" t="str">
        <f>""</f>
        <v/>
      </c>
      <c r="C24" t="s">
        <v>80</v>
      </c>
    </row>
    <row r="25" spans="1:3" x14ac:dyDescent="0.2">
      <c r="A25" t="s">
        <v>53</v>
      </c>
      <c r="B25" t="str">
        <f>""</f>
        <v/>
      </c>
      <c r="C25" t="s">
        <v>99</v>
      </c>
    </row>
    <row r="26" spans="1:3" x14ac:dyDescent="0.2">
      <c r="A26" t="s">
        <v>54</v>
      </c>
      <c r="B26" t="str">
        <f>""</f>
        <v/>
      </c>
      <c r="C26" t="s">
        <v>34</v>
      </c>
    </row>
    <row r="27" spans="1:3" x14ac:dyDescent="0.2">
      <c r="A27" t="s">
        <v>55</v>
      </c>
      <c r="B27" t="str">
        <f>""</f>
        <v/>
      </c>
      <c r="C27" t="s">
        <v>35</v>
      </c>
    </row>
    <row r="28" spans="1:3" x14ac:dyDescent="0.2">
      <c r="A28" t="s">
        <v>56</v>
      </c>
      <c r="B28" t="str">
        <f>""</f>
        <v/>
      </c>
      <c r="C28" t="s">
        <v>36</v>
      </c>
    </row>
    <row r="29" spans="1:3" x14ac:dyDescent="0.2">
      <c r="A29" t="s">
        <v>37</v>
      </c>
      <c r="B29" t="str">
        <f>""</f>
        <v/>
      </c>
      <c r="C29" t="s">
        <v>38</v>
      </c>
    </row>
    <row r="30" spans="1:3" x14ac:dyDescent="0.2">
      <c r="A30" t="s">
        <v>39</v>
      </c>
      <c r="B30" t="str">
        <f>""</f>
        <v/>
      </c>
      <c r="C30" t="s">
        <v>40</v>
      </c>
    </row>
    <row r="31" spans="1:3" x14ac:dyDescent="0.2">
      <c r="A31" t="s">
        <v>59</v>
      </c>
      <c r="B31" t="str">
        <f>""</f>
        <v/>
      </c>
      <c r="C31" t="s">
        <v>41</v>
      </c>
    </row>
    <row r="32" spans="1:3" x14ac:dyDescent="0.2">
      <c r="A32" t="s">
        <v>42</v>
      </c>
      <c r="B32" t="str">
        <f>""</f>
        <v/>
      </c>
      <c r="C32" t="s">
        <v>43</v>
      </c>
    </row>
    <row r="33" spans="1:4" x14ac:dyDescent="0.2">
      <c r="A33" t="s">
        <v>44</v>
      </c>
      <c r="B33" t="str">
        <f>""</f>
        <v/>
      </c>
      <c r="C33" t="s">
        <v>45</v>
      </c>
    </row>
    <row r="34" spans="1:4" x14ac:dyDescent="0.2">
      <c r="A34" t="s">
        <v>94</v>
      </c>
      <c r="B34" t="str">
        <f>""</f>
        <v/>
      </c>
      <c r="C34" t="s">
        <v>91</v>
      </c>
    </row>
    <row r="35" spans="1:4" x14ac:dyDescent="0.2">
      <c r="A35" t="s">
        <v>95</v>
      </c>
      <c r="B35" t="str">
        <f>""</f>
        <v/>
      </c>
      <c r="C35" s="7" t="s">
        <v>92</v>
      </c>
    </row>
    <row r="36" spans="1:4" x14ac:dyDescent="0.2">
      <c r="A36" t="s">
        <v>104</v>
      </c>
      <c r="B36" t="str">
        <f>""</f>
        <v/>
      </c>
      <c r="C36" s="7" t="s">
        <v>105</v>
      </c>
    </row>
    <row r="37" spans="1:4" x14ac:dyDescent="0.2">
      <c r="A37" t="s">
        <v>96</v>
      </c>
      <c r="B37" t="str">
        <f>""</f>
        <v/>
      </c>
      <c r="C37" t="s">
        <v>97</v>
      </c>
    </row>
    <row r="38" spans="1:4" x14ac:dyDescent="0.2">
      <c r="A38" t="s">
        <v>102</v>
      </c>
      <c r="B38" t="str">
        <f>""</f>
        <v/>
      </c>
      <c r="C38" s="7" t="s">
        <v>98</v>
      </c>
      <c r="D38" t="s">
        <v>101</v>
      </c>
    </row>
    <row r="39" spans="1:4" x14ac:dyDescent="0.2">
      <c r="A39" t="s">
        <v>103</v>
      </c>
      <c r="B39" t="str">
        <f>""</f>
        <v/>
      </c>
      <c r="C39" s="7" t="s">
        <v>100</v>
      </c>
      <c r="D39" t="s">
        <v>101</v>
      </c>
    </row>
  </sheetData>
  <phoneticPr fontId="1"/>
  <pageMargins left="0.7" right="0.7" top="0.75" bottom="0.75" header="0.3" footer="0.3"/>
  <pageSetup paperSize="9" orientation="portrait" horizontalDpi="300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O38"/>
  <sheetViews>
    <sheetView zoomScaleNormal="100" workbookViewId="0">
      <selection activeCell="N15" sqref="N15"/>
    </sheetView>
  </sheetViews>
  <sheetFormatPr defaultColWidth="8.88671875" defaultRowHeight="13.2" x14ac:dyDescent="0.2"/>
  <cols>
    <col min="1" max="1" width="4.6640625" style="1" customWidth="1"/>
    <col min="2" max="2" width="7.6640625" style="1" customWidth="1"/>
    <col min="3" max="3" width="9.109375" style="1" customWidth="1"/>
    <col min="4" max="4" width="7.77734375" style="1" customWidth="1"/>
    <col min="5" max="5" width="10.109375" style="1" customWidth="1"/>
    <col min="6" max="7" width="9.109375" style="1" customWidth="1"/>
    <col min="8" max="8" width="1.44140625" style="1" customWidth="1"/>
    <col min="9" max="9" width="10.88671875" style="1" customWidth="1"/>
    <col min="10" max="10" width="8.109375" style="1" customWidth="1"/>
    <col min="11" max="12" width="5.33203125" style="1" customWidth="1"/>
    <col min="13" max="13" width="8.88671875" style="1"/>
    <col min="14" max="15" width="9.6640625" style="1" customWidth="1"/>
    <col min="16" max="16384" width="8.88671875" style="1"/>
  </cols>
  <sheetData>
    <row r="1" spans="1:15" ht="10.199999999999999" customHeight="1" x14ac:dyDescent="0.2"/>
    <row r="2" spans="1:15" ht="30" customHeight="1" x14ac:dyDescent="0.2"/>
    <row r="3" spans="1:15" ht="10.199999999999999" customHeight="1" x14ac:dyDescent="0.2"/>
    <row r="4" spans="1:15" s="9" customFormat="1" ht="25.5" customHeight="1" thickBot="1" x14ac:dyDescent="0.3">
      <c r="A4" s="8" t="s">
        <v>87</v>
      </c>
      <c r="E4" s="22"/>
      <c r="F4" s="55" t="s">
        <v>86</v>
      </c>
      <c r="G4" s="55"/>
      <c r="H4" s="22"/>
      <c r="I4" s="23" t="s">
        <v>69</v>
      </c>
      <c r="J4" s="50" t="str">
        <f>共通情報!B7</f>
        <v/>
      </c>
      <c r="K4" s="50"/>
      <c r="L4" s="50"/>
    </row>
    <row r="5" spans="1:15" ht="21.75" customHeight="1" thickBot="1" x14ac:dyDescent="0.25">
      <c r="A5" s="61" t="s">
        <v>67</v>
      </c>
      <c r="B5" s="61"/>
      <c r="C5" s="62" t="str">
        <f>共通情報!B2</f>
        <v/>
      </c>
      <c r="D5" s="62"/>
      <c r="E5" s="24" t="s">
        <v>68</v>
      </c>
      <c r="F5" s="63" t="str">
        <f>共通情報!B3</f>
        <v/>
      </c>
      <c r="G5" s="63"/>
      <c r="I5" s="51" t="s">
        <v>52</v>
      </c>
      <c r="J5" s="56" t="str">
        <f>IF(共通情報!B12="高血圧", "高血圧症",共通情報!B12)</f>
        <v/>
      </c>
      <c r="K5" s="57"/>
      <c r="L5" s="58"/>
    </row>
    <row r="6" spans="1:15" ht="21.75" customHeight="1" thickBot="1" x14ac:dyDescent="0.25">
      <c r="A6" s="25" t="s">
        <v>11</v>
      </c>
      <c r="B6" s="25"/>
      <c r="C6" s="53" t="str">
        <f>共通情報!B6</f>
        <v/>
      </c>
      <c r="D6" s="54"/>
      <c r="E6" s="27" t="str">
        <f>共通情報!B37</f>
        <v/>
      </c>
      <c r="F6" s="26" t="s">
        <v>62</v>
      </c>
      <c r="G6" s="26" t="str">
        <f>共通情報!B5</f>
        <v/>
      </c>
      <c r="I6" s="52"/>
      <c r="J6" s="59"/>
      <c r="K6" s="59"/>
      <c r="L6" s="60"/>
    </row>
    <row r="7" spans="1:15" ht="21.75" customHeight="1" thickBot="1" x14ac:dyDescent="0.35">
      <c r="A7" s="12"/>
      <c r="B7" s="12"/>
      <c r="C7" s="42"/>
      <c r="D7" s="43"/>
      <c r="E7" s="44"/>
      <c r="F7" s="44"/>
      <c r="G7" s="44"/>
      <c r="I7" s="45"/>
      <c r="J7" s="46"/>
      <c r="K7" s="46"/>
      <c r="L7" s="46"/>
    </row>
    <row r="8" spans="1:15" ht="21.75" customHeight="1" thickTop="1" thickBot="1" x14ac:dyDescent="0.25">
      <c r="A8" s="64" t="s">
        <v>107</v>
      </c>
      <c r="B8" s="65"/>
      <c r="C8" s="65"/>
      <c r="D8" s="65"/>
      <c r="E8" s="65"/>
      <c r="F8" s="65"/>
      <c r="G8" s="65"/>
      <c r="H8" s="65"/>
      <c r="I8" s="65"/>
      <c r="J8" s="65"/>
      <c r="K8" s="65"/>
      <c r="L8" s="66"/>
    </row>
    <row r="9" spans="1:15" ht="20.100000000000001" customHeight="1" thickTop="1" thickBot="1" x14ac:dyDescent="0.25">
      <c r="A9" s="75" t="s">
        <v>63</v>
      </c>
      <c r="B9" s="37" t="s">
        <v>46</v>
      </c>
      <c r="C9" s="10" t="str">
        <f>IF(共通情報!B17="","","HbA1c：")</f>
        <v/>
      </c>
      <c r="D9" s="38" t="str">
        <f>IF(共通情報!B17="", "", 共通情報!B17&amp;"%")</f>
        <v/>
      </c>
      <c r="E9" s="30" t="str">
        <f>IF(共通情報!B16="","","血圧：")</f>
        <v/>
      </c>
      <c r="F9" s="29" t="str">
        <f>IF(共通情報!B16=0, "", 共通情報!B16)</f>
        <v/>
      </c>
      <c r="G9" s="11" t="str">
        <f>IF(共通情報!B16="","","mmHg")</f>
        <v/>
      </c>
      <c r="H9" s="37"/>
      <c r="I9" s="30" t="str">
        <f>IF(共通情報!B14="","","体重：")</f>
        <v/>
      </c>
      <c r="J9" s="11" t="str">
        <f>IF(共通情報!B14="", "", 共通情報!B14&amp;"kg")</f>
        <v/>
      </c>
      <c r="K9" s="29"/>
      <c r="L9" s="39"/>
      <c r="N9" s="67"/>
      <c r="O9" s="68"/>
    </row>
    <row r="10" spans="1:15" ht="20.100000000000001" customHeight="1" x14ac:dyDescent="0.2">
      <c r="A10" s="73"/>
      <c r="B10" s="12" t="s">
        <v>61</v>
      </c>
      <c r="C10" s="12"/>
      <c r="D10" s="12"/>
      <c r="E10" s="12"/>
      <c r="F10" s="12"/>
      <c r="G10" s="12"/>
      <c r="H10" s="12"/>
      <c r="I10" s="12"/>
      <c r="J10" s="12"/>
      <c r="K10" s="12"/>
      <c r="L10" s="13"/>
      <c r="N10" s="68"/>
      <c r="O10" s="68"/>
    </row>
    <row r="11" spans="1:15" ht="20.100000000000001" customHeight="1" x14ac:dyDescent="0.2">
      <c r="A11" s="73"/>
      <c r="B11" s="12" t="str">
        <f>共通情報!B18</f>
        <v/>
      </c>
      <c r="C11" s="12"/>
      <c r="D11" s="12"/>
      <c r="E11" s="12"/>
      <c r="F11" s="12"/>
      <c r="G11" s="12"/>
      <c r="H11" s="12"/>
      <c r="I11" s="12"/>
      <c r="J11" s="12"/>
      <c r="K11" s="12"/>
      <c r="L11" s="13"/>
    </row>
    <row r="12" spans="1:15" ht="20.100000000000001" customHeight="1" x14ac:dyDescent="0.2">
      <c r="A12" s="73"/>
      <c r="B12" s="12"/>
      <c r="C12" s="12"/>
      <c r="D12" s="12"/>
      <c r="E12" s="12"/>
      <c r="F12" s="12"/>
      <c r="G12" s="12"/>
      <c r="H12" s="12"/>
      <c r="I12" s="12"/>
      <c r="J12" s="12"/>
      <c r="K12" s="12"/>
      <c r="L12" s="14"/>
    </row>
    <row r="13" spans="1:15" ht="20.100000000000001" customHeight="1" x14ac:dyDescent="0.2">
      <c r="A13" s="73"/>
      <c r="B13" s="12" t="s">
        <v>47</v>
      </c>
      <c r="C13" s="12"/>
      <c r="D13" s="12"/>
      <c r="E13" s="12"/>
      <c r="F13" s="12"/>
      <c r="G13" s="12"/>
      <c r="H13" s="12"/>
      <c r="I13" s="12"/>
      <c r="J13" s="12"/>
      <c r="K13" s="12"/>
      <c r="L13" s="13"/>
    </row>
    <row r="14" spans="1:15" ht="20.100000000000001" customHeight="1" x14ac:dyDescent="0.2">
      <c r="A14" s="73"/>
      <c r="B14" s="12" t="str">
        <f>共通情報!B19</f>
        <v/>
      </c>
      <c r="C14" s="12"/>
      <c r="D14" s="12"/>
      <c r="E14" s="12"/>
      <c r="F14" s="12"/>
      <c r="G14" s="12"/>
      <c r="H14" s="12"/>
      <c r="I14" s="12"/>
      <c r="J14" s="12"/>
      <c r="K14" s="12"/>
      <c r="L14" s="13"/>
    </row>
    <row r="15" spans="1:15" ht="20.100000000000001" customHeight="1" thickBot="1" x14ac:dyDescent="0.25">
      <c r="A15" s="76"/>
      <c r="B15" s="12"/>
      <c r="C15" s="12"/>
      <c r="D15" s="12"/>
      <c r="E15" s="12"/>
      <c r="F15" s="12"/>
      <c r="G15" s="12"/>
      <c r="H15" s="12"/>
      <c r="I15" s="12"/>
      <c r="J15" s="12"/>
      <c r="K15" s="12"/>
      <c r="L15" s="14"/>
    </row>
    <row r="16" spans="1:15" ht="20.100000000000001" customHeight="1" thickBot="1" x14ac:dyDescent="0.25">
      <c r="A16" s="83" t="s">
        <v>64</v>
      </c>
      <c r="B16" s="84" t="s">
        <v>33</v>
      </c>
      <c r="C16" s="17" t="str">
        <f>IF(共通情報!B21="(空欄)", "", 共通情報!B21)</f>
        <v/>
      </c>
      <c r="D16" s="18"/>
      <c r="E16" s="18"/>
      <c r="F16" s="18"/>
      <c r="G16" s="18" t="str">
        <f>IF(共通情報!B22="(空欄)", "", 共通情報!B22)</f>
        <v/>
      </c>
      <c r="H16" s="18"/>
      <c r="I16" s="18"/>
      <c r="J16" s="18"/>
      <c r="K16" s="18"/>
      <c r="L16" s="19"/>
    </row>
    <row r="17" spans="1:12" ht="20.100000000000001" customHeight="1" x14ac:dyDescent="0.2">
      <c r="A17" s="73"/>
      <c r="B17" s="85"/>
      <c r="C17" s="21" t="str">
        <f>IF(共通情報!B23="(空欄)", "", 共通情報!B23)</f>
        <v/>
      </c>
      <c r="D17" s="12"/>
      <c r="E17" s="12"/>
      <c r="F17" s="12"/>
      <c r="G17" s="12" t="str">
        <f>IF(共通情報!B24="(空欄)", "", 共通情報!B24)</f>
        <v/>
      </c>
      <c r="H17" s="12"/>
      <c r="I17" s="12"/>
      <c r="J17" s="12"/>
      <c r="K17" s="12"/>
      <c r="L17" s="13"/>
    </row>
    <row r="18" spans="1:12" ht="20.100000000000001" customHeight="1" x14ac:dyDescent="0.2">
      <c r="A18" s="73"/>
      <c r="B18" s="85"/>
      <c r="C18" s="87" t="str">
        <f>IF(共通情報!B38=0,"",共通情報!B38)</f>
        <v/>
      </c>
      <c r="D18" s="88"/>
      <c r="E18" s="88"/>
      <c r="F18" s="88"/>
      <c r="G18" s="88"/>
      <c r="H18" s="88"/>
      <c r="I18" s="88"/>
      <c r="J18" s="88"/>
      <c r="K18" s="88"/>
      <c r="L18" s="89"/>
    </row>
    <row r="19" spans="1:12" ht="20.100000000000001" customHeight="1" thickBot="1" x14ac:dyDescent="0.25">
      <c r="A19" s="73"/>
      <c r="B19" s="86"/>
      <c r="C19" s="90"/>
      <c r="D19" s="91"/>
      <c r="E19" s="91"/>
      <c r="F19" s="91"/>
      <c r="G19" s="91"/>
      <c r="H19" s="91"/>
      <c r="I19" s="91"/>
      <c r="J19" s="91"/>
      <c r="K19" s="91"/>
      <c r="L19" s="92"/>
    </row>
    <row r="20" spans="1:12" ht="20.100000000000001" customHeight="1" thickBot="1" x14ac:dyDescent="0.25">
      <c r="A20" s="73"/>
      <c r="B20" s="69" t="s">
        <v>48</v>
      </c>
      <c r="C20" s="17" t="str">
        <f>"運動の種類："&amp;IF(共通情報!B25="(空欄)", "", 共通情報!B25)</f>
        <v>運動の種類：</v>
      </c>
      <c r="D20" s="18"/>
      <c r="E20" s="18"/>
      <c r="F20" s="18"/>
      <c r="G20" s="18"/>
      <c r="H20" s="31"/>
      <c r="I20" s="31"/>
      <c r="J20" s="31"/>
      <c r="K20" s="31"/>
      <c r="L20" s="13"/>
    </row>
    <row r="21" spans="1:12" ht="20.100000000000001" customHeight="1" x14ac:dyDescent="0.2">
      <c r="A21" s="73"/>
      <c r="B21" s="70"/>
      <c r="C21" s="32" t="str">
        <f>"時間："&amp;IF(共通情報!B26="(空欄)", "", 共通情報!B26)</f>
        <v>時間：</v>
      </c>
      <c r="D21" s="12"/>
      <c r="E21" s="12"/>
      <c r="F21" s="32" t="str">
        <f>"頻度："&amp;IF(共通情報!B27="(空欄)", "", 共通情報!B27)</f>
        <v>頻度：</v>
      </c>
      <c r="G21" s="34"/>
      <c r="H21" s="34"/>
      <c r="I21" s="34"/>
      <c r="J21" s="34"/>
      <c r="K21" s="34"/>
      <c r="L21" s="13"/>
    </row>
    <row r="22" spans="1:12" ht="20.100000000000001" customHeight="1" x14ac:dyDescent="0.2">
      <c r="A22" s="73"/>
      <c r="B22" s="70"/>
      <c r="C22" s="32" t="str">
        <f>"強度："&amp;IF(共通情報!B28="(空欄)", "", 共通情報!B28)</f>
        <v>強度：</v>
      </c>
      <c r="D22" s="12"/>
      <c r="E22" s="12"/>
      <c r="F22" s="31"/>
      <c r="G22" s="31"/>
      <c r="H22" s="31"/>
      <c r="I22" s="31"/>
      <c r="J22" s="31"/>
      <c r="K22" s="31"/>
      <c r="L22" s="13"/>
    </row>
    <row r="23" spans="1:12" ht="20.100000000000001" customHeight="1" x14ac:dyDescent="0.2">
      <c r="A23" s="73"/>
      <c r="B23" s="70"/>
      <c r="C23" s="81" t="s">
        <v>57</v>
      </c>
      <c r="D23" s="82"/>
      <c r="E23" s="82"/>
      <c r="F23" s="31" t="str">
        <f>IF(共通情報!B29="(空欄)", "", 共通情報!B29)</f>
        <v/>
      </c>
      <c r="G23" s="31"/>
      <c r="H23" s="31"/>
      <c r="I23" s="31"/>
      <c r="J23" s="31"/>
      <c r="K23" s="31"/>
      <c r="L23" s="13"/>
    </row>
    <row r="24" spans="1:12" ht="20.100000000000001" customHeight="1" x14ac:dyDescent="0.2">
      <c r="A24" s="73"/>
      <c r="B24" s="70"/>
      <c r="C24" s="87" t="str">
        <f>IF(共通情報!B39=0,"",共通情報!B39)</f>
        <v/>
      </c>
      <c r="D24" s="88"/>
      <c r="E24" s="88"/>
      <c r="F24" s="88"/>
      <c r="G24" s="88"/>
      <c r="H24" s="88"/>
      <c r="I24" s="88"/>
      <c r="J24" s="88"/>
      <c r="K24" s="88"/>
      <c r="L24" s="89"/>
    </row>
    <row r="25" spans="1:12" ht="20.100000000000001" customHeight="1" thickBot="1" x14ac:dyDescent="0.25">
      <c r="A25" s="73"/>
      <c r="B25" s="71"/>
      <c r="C25" s="90"/>
      <c r="D25" s="91"/>
      <c r="E25" s="91"/>
      <c r="F25" s="91"/>
      <c r="G25" s="91"/>
      <c r="H25" s="91"/>
      <c r="I25" s="91"/>
      <c r="J25" s="91"/>
      <c r="K25" s="91"/>
      <c r="L25" s="92"/>
    </row>
    <row r="26" spans="1:12" ht="20.100000000000001" customHeight="1" thickBot="1" x14ac:dyDescent="0.25">
      <c r="A26" s="73"/>
      <c r="B26" s="69" t="s">
        <v>49</v>
      </c>
      <c r="C26" s="17" t="str">
        <f>IF(共通情報!B30=TRUE, "非喫煙者である", IF(AND(共通情報!B30=FALSE, 共通情報!B31=TRUE), "禁煙の実施方法等を指示", "喫煙していれば禁煙を指示"))</f>
        <v>喫煙していれば禁煙を指示</v>
      </c>
      <c r="D26" s="18"/>
      <c r="E26" s="18"/>
      <c r="F26" s="18"/>
      <c r="G26" s="18"/>
      <c r="H26" s="18"/>
      <c r="I26" s="18"/>
      <c r="J26" s="18"/>
      <c r="K26" s="18"/>
      <c r="L26" s="19"/>
    </row>
    <row r="27" spans="1:12" ht="20.100000000000001" customHeight="1" thickBot="1" x14ac:dyDescent="0.25">
      <c r="A27" s="73"/>
      <c r="B27" s="71"/>
      <c r="C27" s="20"/>
      <c r="D27" s="15"/>
      <c r="E27" s="15"/>
      <c r="F27" s="15"/>
      <c r="G27" s="15"/>
      <c r="H27" s="15"/>
      <c r="I27" s="15"/>
      <c r="J27" s="15"/>
      <c r="K27" s="15"/>
      <c r="L27" s="16"/>
    </row>
    <row r="28" spans="1:12" ht="20.100000000000001" customHeight="1" thickBot="1" x14ac:dyDescent="0.25">
      <c r="A28" s="73"/>
      <c r="B28" s="69" t="s">
        <v>50</v>
      </c>
      <c r="C28" s="12" t="str">
        <f>共通情報!B32</f>
        <v/>
      </c>
      <c r="D28" s="12"/>
      <c r="E28" s="12"/>
      <c r="F28" s="12"/>
      <c r="G28" s="12" t="str">
        <f>共通情報!B33</f>
        <v/>
      </c>
      <c r="H28" s="12"/>
      <c r="I28" s="12"/>
      <c r="J28" s="12"/>
      <c r="K28" s="12"/>
      <c r="L28" s="13"/>
    </row>
    <row r="29" spans="1:12" ht="20.100000000000001" customHeight="1" x14ac:dyDescent="0.2">
      <c r="A29" s="73"/>
      <c r="B29" s="70"/>
      <c r="C29" s="21" t="s">
        <v>93</v>
      </c>
      <c r="D29" s="40" t="str">
        <f>IF(共通情報!B34=TRUE, "☑眼科",  "□眼科")</f>
        <v>□眼科</v>
      </c>
      <c r="E29" s="40" t="str">
        <f>IF(共通情報!B35=TRUE, "☑歯科",  "□歯科")</f>
        <v>□歯科</v>
      </c>
      <c r="F29" s="12" t="str">
        <f>IF(共通情報!B36=TRUE, "☑がん検診",  "□がん検診")</f>
        <v>□がん検診</v>
      </c>
      <c r="H29" s="12"/>
      <c r="I29" s="12"/>
      <c r="J29" s="12"/>
      <c r="K29" s="12"/>
      <c r="L29" s="13"/>
    </row>
    <row r="30" spans="1:12" ht="20.100000000000001" customHeight="1" thickBot="1" x14ac:dyDescent="0.25">
      <c r="A30" s="76"/>
      <c r="B30" s="71"/>
      <c r="C30" s="12"/>
      <c r="D30" s="12"/>
      <c r="E30" s="12"/>
      <c r="F30" s="12"/>
      <c r="G30" s="12"/>
      <c r="H30" s="12"/>
      <c r="I30" s="12"/>
      <c r="J30" s="12"/>
      <c r="K30" s="12"/>
      <c r="L30" s="13"/>
    </row>
    <row r="31" spans="1:12" ht="20.100000000000001" customHeight="1" thickBot="1" x14ac:dyDescent="0.25">
      <c r="A31" s="72" t="s">
        <v>65</v>
      </c>
      <c r="B31" s="3"/>
      <c r="C31" s="3"/>
      <c r="D31" s="3"/>
      <c r="E31" s="3"/>
      <c r="F31" s="3"/>
      <c r="G31" s="3"/>
      <c r="H31" s="3"/>
      <c r="I31" s="3"/>
      <c r="J31" s="3"/>
      <c r="K31" s="3"/>
      <c r="L31" s="4"/>
    </row>
    <row r="32" spans="1:12" ht="20.100000000000001" customHeight="1" thickTop="1" x14ac:dyDescent="0.2">
      <c r="A32" s="73"/>
      <c r="B32" s="21" t="s">
        <v>58</v>
      </c>
      <c r="L32" s="2"/>
    </row>
    <row r="33" spans="1:12" ht="20.100000000000001" customHeight="1" thickBot="1" x14ac:dyDescent="0.25">
      <c r="A33" s="74"/>
      <c r="B33" s="5"/>
      <c r="C33" s="5"/>
      <c r="D33" s="5"/>
      <c r="E33" s="5"/>
      <c r="F33" s="5"/>
      <c r="G33" s="5"/>
      <c r="H33" s="5"/>
      <c r="I33" s="5"/>
      <c r="J33" s="5"/>
      <c r="K33" s="5"/>
      <c r="L33" s="6"/>
    </row>
    <row r="34" spans="1:12" ht="17.25" customHeight="1" thickTop="1" x14ac:dyDescent="0.2"/>
    <row r="35" spans="1:12" s="12" customFormat="1" ht="39.9" customHeight="1" x14ac:dyDescent="0.2">
      <c r="A35" s="93"/>
      <c r="F35" s="41"/>
      <c r="G35" s="77" t="s">
        <v>51</v>
      </c>
      <c r="H35" s="78"/>
      <c r="I35" s="79" t="str">
        <f>共通情報!B9</f>
        <v/>
      </c>
      <c r="J35" s="79"/>
      <c r="K35" s="79"/>
      <c r="L35" s="80"/>
    </row>
    <row r="36" spans="1:12" ht="17.25" customHeight="1" x14ac:dyDescent="0.2"/>
    <row r="37" spans="1:12" ht="26.25" customHeight="1" x14ac:dyDescent="0.2">
      <c r="A37" s="28"/>
      <c r="B37" s="49"/>
      <c r="C37" s="49"/>
      <c r="D37" s="49"/>
      <c r="E37" s="49"/>
      <c r="F37" s="49"/>
      <c r="G37" s="49"/>
      <c r="H37" s="49"/>
      <c r="I37" s="49"/>
      <c r="J37" s="49"/>
      <c r="K37" s="49"/>
      <c r="L37" s="49"/>
    </row>
    <row r="38" spans="1:12" x14ac:dyDescent="0.2">
      <c r="J38" s="1" t="s">
        <v>60</v>
      </c>
    </row>
  </sheetData>
  <mergeCells count="23">
    <mergeCell ref="N9:O10"/>
    <mergeCell ref="B28:B30"/>
    <mergeCell ref="A31:A33"/>
    <mergeCell ref="A9:A15"/>
    <mergeCell ref="G35:H35"/>
    <mergeCell ref="I35:L35"/>
    <mergeCell ref="B20:B25"/>
    <mergeCell ref="B26:B27"/>
    <mergeCell ref="C23:E23"/>
    <mergeCell ref="A16:A30"/>
    <mergeCell ref="B16:B19"/>
    <mergeCell ref="C18:L19"/>
    <mergeCell ref="C24:L25"/>
    <mergeCell ref="B37:L37"/>
    <mergeCell ref="J4:L4"/>
    <mergeCell ref="I5:I6"/>
    <mergeCell ref="C6:D6"/>
    <mergeCell ref="F4:G4"/>
    <mergeCell ref="J5:L6"/>
    <mergeCell ref="A5:B5"/>
    <mergeCell ref="C5:D5"/>
    <mergeCell ref="F5:G5"/>
    <mergeCell ref="A8:L8"/>
  </mergeCells>
  <phoneticPr fontId="1"/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ボタン2_Click">
                <anchor moveWithCells="1" sizeWithCells="1">
                  <from>
                    <xdr:col>12</xdr:col>
                    <xdr:colOff>594360</xdr:colOff>
                    <xdr:row>11</xdr:row>
                    <xdr:rowOff>0</xdr:rowOff>
                  </from>
                  <to>
                    <xdr:col>14</xdr:col>
                    <xdr:colOff>647700</xdr:colOff>
                    <xdr:row>13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ボタン3_Click">
                <anchor moveWithCells="1" sizeWithCells="1">
                  <from>
                    <xdr:col>13</xdr:col>
                    <xdr:colOff>0</xdr:colOff>
                    <xdr:row>7</xdr:row>
                    <xdr:rowOff>266700</xdr:rowOff>
                  </from>
                  <to>
                    <xdr:col>15</xdr:col>
                    <xdr:colOff>0</xdr:colOff>
                    <xdr:row>9</xdr:row>
                    <xdr:rowOff>243840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1:O38"/>
  <sheetViews>
    <sheetView zoomScaleNormal="100" workbookViewId="0">
      <selection activeCell="N15" sqref="N15"/>
    </sheetView>
  </sheetViews>
  <sheetFormatPr defaultColWidth="8.88671875" defaultRowHeight="13.2" x14ac:dyDescent="0.2"/>
  <cols>
    <col min="1" max="1" width="4.6640625" style="1" customWidth="1"/>
    <col min="2" max="2" width="7.6640625" style="1" customWidth="1"/>
    <col min="3" max="3" width="9.109375" style="1" customWidth="1"/>
    <col min="4" max="4" width="7.77734375" style="1" customWidth="1"/>
    <col min="5" max="5" width="10.109375" style="1" customWidth="1"/>
    <col min="6" max="7" width="9.109375" style="1" customWidth="1"/>
    <col min="8" max="8" width="1.44140625" style="1" customWidth="1"/>
    <col min="9" max="9" width="10.88671875" style="1" customWidth="1"/>
    <col min="10" max="10" width="8.109375" style="1" customWidth="1"/>
    <col min="11" max="12" width="5.33203125" style="1" customWidth="1"/>
    <col min="13" max="13" width="8.88671875" style="1"/>
    <col min="14" max="15" width="9.6640625" style="1" customWidth="1"/>
    <col min="16" max="16384" width="8.88671875" style="1"/>
  </cols>
  <sheetData>
    <row r="1" spans="1:15" ht="10.199999999999999" customHeight="1" x14ac:dyDescent="0.2"/>
    <row r="2" spans="1:15" ht="30" customHeight="1" x14ac:dyDescent="0.2"/>
    <row r="3" spans="1:15" ht="10.199999999999999" customHeight="1" x14ac:dyDescent="0.2"/>
    <row r="4" spans="1:15" s="9" customFormat="1" ht="25.5" customHeight="1" thickBot="1" x14ac:dyDescent="0.3">
      <c r="A4" s="8" t="s">
        <v>87</v>
      </c>
      <c r="E4" s="22"/>
      <c r="F4" s="55" t="s">
        <v>106</v>
      </c>
      <c r="G4" s="55"/>
      <c r="H4" s="22"/>
      <c r="I4" s="23" t="s">
        <v>69</v>
      </c>
      <c r="J4" s="50" t="str">
        <f>共通情報!B7</f>
        <v/>
      </c>
      <c r="K4" s="50"/>
      <c r="L4" s="50"/>
    </row>
    <row r="5" spans="1:15" ht="21.75" customHeight="1" thickBot="1" x14ac:dyDescent="0.25">
      <c r="A5" s="61" t="s">
        <v>67</v>
      </c>
      <c r="B5" s="61"/>
      <c r="C5" s="62" t="str">
        <f>共通情報!B2</f>
        <v/>
      </c>
      <c r="D5" s="62"/>
      <c r="E5" s="24" t="s">
        <v>68</v>
      </c>
      <c r="F5" s="63" t="str">
        <f>共通情報!B3</f>
        <v/>
      </c>
      <c r="G5" s="63"/>
      <c r="I5" s="51" t="s">
        <v>52</v>
      </c>
      <c r="J5" s="56" t="str">
        <f>IF(共通情報!B12="高血圧", "高血圧症",共通情報!B12)</f>
        <v/>
      </c>
      <c r="K5" s="57"/>
      <c r="L5" s="58"/>
    </row>
    <row r="6" spans="1:15" ht="21.75" customHeight="1" thickBot="1" x14ac:dyDescent="0.25">
      <c r="A6" s="25" t="s">
        <v>11</v>
      </c>
      <c r="B6" s="25"/>
      <c r="C6" s="53" t="str">
        <f>共通情報!B6</f>
        <v/>
      </c>
      <c r="D6" s="54"/>
      <c r="E6" s="27" t="str">
        <f>共通情報!B37</f>
        <v/>
      </c>
      <c r="F6" s="26" t="s">
        <v>62</v>
      </c>
      <c r="G6" s="26" t="str">
        <f>共通情報!B5</f>
        <v/>
      </c>
      <c r="I6" s="52"/>
      <c r="J6" s="59"/>
      <c r="K6" s="59"/>
      <c r="L6" s="60"/>
    </row>
    <row r="7" spans="1:15" ht="21.75" customHeight="1" thickBot="1" x14ac:dyDescent="0.35">
      <c r="A7" s="12"/>
      <c r="B7" s="12"/>
      <c r="C7" s="42"/>
      <c r="D7" s="43"/>
      <c r="E7" s="44"/>
      <c r="F7" s="44"/>
      <c r="G7" s="44"/>
      <c r="I7" s="45"/>
      <c r="J7" s="46"/>
      <c r="K7" s="46"/>
      <c r="L7" s="46"/>
    </row>
    <row r="8" spans="1:15" ht="21.75" customHeight="1" thickTop="1" thickBot="1" x14ac:dyDescent="0.25">
      <c r="A8" s="64" t="s">
        <v>107</v>
      </c>
      <c r="B8" s="65"/>
      <c r="C8" s="65"/>
      <c r="D8" s="65"/>
      <c r="E8" s="65"/>
      <c r="F8" s="65"/>
      <c r="G8" s="65"/>
      <c r="H8" s="65"/>
      <c r="I8" s="65"/>
      <c r="J8" s="65"/>
      <c r="K8" s="65"/>
      <c r="L8" s="66"/>
    </row>
    <row r="9" spans="1:15" ht="20.100000000000001" customHeight="1" thickTop="1" thickBot="1" x14ac:dyDescent="0.25">
      <c r="A9" s="75" t="s">
        <v>63</v>
      </c>
      <c r="B9" s="37" t="s">
        <v>46</v>
      </c>
      <c r="C9" s="10" t="str">
        <f>IF(共通情報!B17="","","HbA1c：")</f>
        <v/>
      </c>
      <c r="D9" s="38" t="str">
        <f>IF(共通情報!B17="", "", 共通情報!B17&amp;"%")</f>
        <v/>
      </c>
      <c r="E9" s="30" t="str">
        <f>IF(共通情報!B16="","","血圧：")</f>
        <v/>
      </c>
      <c r="F9" s="29" t="str">
        <f>IF(共通情報!B16=0, "", 共通情報!B16)</f>
        <v/>
      </c>
      <c r="G9" s="11" t="str">
        <f>IF(共通情報!B16="","","mmHg")</f>
        <v/>
      </c>
      <c r="H9" s="37"/>
      <c r="I9" s="30" t="str">
        <f>IF(共通情報!B14="","","体重：")</f>
        <v/>
      </c>
      <c r="J9" s="11" t="str">
        <f>IF(共通情報!B14="", "", 共通情報!B14&amp;"kg")</f>
        <v/>
      </c>
      <c r="K9" s="29"/>
      <c r="L9" s="39"/>
      <c r="N9" s="67" t="s">
        <v>66</v>
      </c>
      <c r="O9" s="68"/>
    </row>
    <row r="10" spans="1:15" ht="20.100000000000001" customHeight="1" x14ac:dyDescent="0.2">
      <c r="A10" s="73"/>
      <c r="B10" s="12" t="s">
        <v>90</v>
      </c>
      <c r="C10" s="12"/>
      <c r="D10" s="12"/>
      <c r="E10" s="12"/>
      <c r="F10" s="12"/>
      <c r="G10" s="12"/>
      <c r="H10" s="12"/>
      <c r="I10" s="12"/>
      <c r="J10" s="12"/>
      <c r="K10" s="12"/>
      <c r="L10" s="13"/>
      <c r="N10" s="68"/>
      <c r="O10" s="68"/>
    </row>
    <row r="11" spans="1:15" ht="20.100000000000001" customHeight="1" x14ac:dyDescent="0.2">
      <c r="A11" s="73"/>
      <c r="B11" s="12" t="str">
        <f>IF(共通情報!B20=0, "",IF(共通情報!B20="(空欄)", "", 共通情報!B20))</f>
        <v/>
      </c>
      <c r="C11" s="12"/>
      <c r="D11" s="12"/>
      <c r="E11" s="12"/>
      <c r="F11" s="12"/>
      <c r="G11" s="12"/>
      <c r="H11" s="12"/>
      <c r="I11" s="12"/>
      <c r="J11" s="12"/>
      <c r="K11" s="12"/>
      <c r="L11" s="13"/>
    </row>
    <row r="12" spans="1:15" ht="20.100000000000001" customHeight="1" x14ac:dyDescent="0.2">
      <c r="A12" s="73"/>
      <c r="B12" s="12" t="s">
        <v>88</v>
      </c>
      <c r="C12" s="12"/>
      <c r="D12" s="12"/>
      <c r="E12" s="12"/>
      <c r="F12" s="12"/>
      <c r="G12" s="12"/>
      <c r="H12" s="12"/>
      <c r="I12" s="12"/>
      <c r="J12" s="12"/>
      <c r="K12" s="12"/>
      <c r="L12" s="14"/>
      <c r="N12" s="33"/>
      <c r="O12" s="7"/>
    </row>
    <row r="13" spans="1:15" ht="20.100000000000001" customHeight="1" x14ac:dyDescent="0.2">
      <c r="A13" s="73"/>
      <c r="B13" s="12" t="str">
        <f>共通情報!B18</f>
        <v/>
      </c>
      <c r="C13" s="12"/>
      <c r="D13" s="12"/>
      <c r="E13" s="12"/>
      <c r="F13" s="12"/>
      <c r="G13" s="12"/>
      <c r="H13" s="12"/>
      <c r="I13" s="12"/>
      <c r="J13" s="12"/>
      <c r="K13" s="12"/>
      <c r="L13" s="13"/>
      <c r="N13" s="7"/>
      <c r="O13" s="7"/>
    </row>
    <row r="14" spans="1:15" ht="20.100000000000001" customHeight="1" x14ac:dyDescent="0.2">
      <c r="A14" s="73"/>
      <c r="B14" s="12" t="s">
        <v>89</v>
      </c>
      <c r="C14" s="12"/>
      <c r="D14" s="12"/>
      <c r="E14" s="12"/>
      <c r="F14" s="12"/>
      <c r="G14" s="12"/>
      <c r="H14" s="12"/>
      <c r="I14" s="12"/>
      <c r="J14" s="12"/>
      <c r="K14" s="12"/>
      <c r="L14" s="13"/>
    </row>
    <row r="15" spans="1:15" ht="20.100000000000001" customHeight="1" thickBot="1" x14ac:dyDescent="0.25">
      <c r="A15" s="76"/>
      <c r="B15" s="12" t="str">
        <f>共通情報!B19</f>
        <v/>
      </c>
      <c r="C15" s="12"/>
      <c r="D15" s="12"/>
      <c r="E15" s="12"/>
      <c r="F15" s="12"/>
      <c r="G15" s="12"/>
      <c r="H15" s="12"/>
      <c r="I15" s="12"/>
      <c r="J15" s="12"/>
      <c r="K15" s="12"/>
      <c r="L15" s="14"/>
    </row>
    <row r="16" spans="1:15" ht="19.5" customHeight="1" thickBot="1" x14ac:dyDescent="0.25">
      <c r="A16" s="83" t="s">
        <v>64</v>
      </c>
      <c r="B16" s="84" t="s">
        <v>33</v>
      </c>
      <c r="C16" s="17" t="str">
        <f>IF(共通情報!B21="(空欄)", "", 共通情報!B21)</f>
        <v/>
      </c>
      <c r="D16" s="18"/>
      <c r="E16" s="18"/>
      <c r="F16" s="18"/>
      <c r="G16" s="18" t="str">
        <f>IF(共通情報!B22="(空欄)", "", 共通情報!B22)</f>
        <v/>
      </c>
      <c r="H16" s="18"/>
      <c r="I16" s="18"/>
      <c r="J16" s="18"/>
      <c r="K16" s="18"/>
      <c r="L16" s="19"/>
    </row>
    <row r="17" spans="1:12" ht="20.100000000000001" customHeight="1" x14ac:dyDescent="0.2">
      <c r="A17" s="73"/>
      <c r="B17" s="85"/>
      <c r="C17" s="21" t="str">
        <f>IF(共通情報!B23="(空欄)", "", 共通情報!B23)</f>
        <v/>
      </c>
      <c r="D17" s="12"/>
      <c r="E17" s="12"/>
      <c r="F17" s="12"/>
      <c r="G17" s="12" t="str">
        <f>IF(共通情報!B24="(空欄)", "", 共通情報!B24)</f>
        <v/>
      </c>
      <c r="H17" s="12"/>
      <c r="I17" s="12"/>
      <c r="J17" s="12"/>
      <c r="K17" s="12"/>
      <c r="L17" s="13"/>
    </row>
    <row r="18" spans="1:12" ht="20.100000000000001" customHeight="1" x14ac:dyDescent="0.2">
      <c r="A18" s="73"/>
      <c r="B18" s="85"/>
      <c r="C18" s="87" t="str">
        <f>IF(共通情報!B38=0,"",共通情報!B38)</f>
        <v/>
      </c>
      <c r="D18" s="88"/>
      <c r="E18" s="88"/>
      <c r="F18" s="88"/>
      <c r="G18" s="88"/>
      <c r="H18" s="88"/>
      <c r="I18" s="88"/>
      <c r="J18" s="88"/>
      <c r="K18" s="88"/>
      <c r="L18" s="89"/>
    </row>
    <row r="19" spans="1:12" ht="20.100000000000001" customHeight="1" thickBot="1" x14ac:dyDescent="0.25">
      <c r="A19" s="73"/>
      <c r="B19" s="86"/>
      <c r="C19" s="90"/>
      <c r="D19" s="91"/>
      <c r="E19" s="91"/>
      <c r="F19" s="91"/>
      <c r="G19" s="91"/>
      <c r="H19" s="91"/>
      <c r="I19" s="91"/>
      <c r="J19" s="91"/>
      <c r="K19" s="91"/>
      <c r="L19" s="92"/>
    </row>
    <row r="20" spans="1:12" ht="20.100000000000001" customHeight="1" thickBot="1" x14ac:dyDescent="0.25">
      <c r="A20" s="73"/>
      <c r="B20" s="69" t="s">
        <v>48</v>
      </c>
      <c r="C20" s="17" t="str">
        <f>"運動の種類："&amp;IF(共通情報!B25="(空欄)", "", 共通情報!B25)</f>
        <v>運動の種類：</v>
      </c>
      <c r="D20" s="18"/>
      <c r="E20" s="18"/>
      <c r="F20" s="18"/>
      <c r="G20" s="18"/>
      <c r="H20" s="31"/>
      <c r="I20" s="31"/>
      <c r="J20" s="31"/>
      <c r="K20" s="31"/>
      <c r="L20" s="13"/>
    </row>
    <row r="21" spans="1:12" ht="20.100000000000001" customHeight="1" x14ac:dyDescent="0.2">
      <c r="A21" s="73"/>
      <c r="B21" s="70"/>
      <c r="C21" s="32" t="str">
        <f>"時間："&amp;IF(共通情報!B26="(空欄)", "", 共通情報!B26)</f>
        <v>時間：</v>
      </c>
      <c r="D21" s="12"/>
      <c r="E21" s="12"/>
      <c r="F21" s="32" t="str">
        <f>"頻度："&amp;IF(共通情報!B27="(空欄)", "", 共通情報!B27)</f>
        <v>頻度：</v>
      </c>
      <c r="G21" s="34"/>
      <c r="H21" s="34"/>
      <c r="I21" s="34"/>
      <c r="J21" s="34"/>
      <c r="K21" s="34"/>
      <c r="L21" s="13"/>
    </row>
    <row r="22" spans="1:12" ht="20.100000000000001" customHeight="1" x14ac:dyDescent="0.2">
      <c r="A22" s="73"/>
      <c r="B22" s="70"/>
      <c r="C22" s="32" t="str">
        <f>"強度："&amp;IF(共通情報!B28="(空欄)", "", 共通情報!B28)</f>
        <v>強度：</v>
      </c>
      <c r="D22" s="12"/>
      <c r="E22" s="12"/>
      <c r="F22" s="31"/>
      <c r="G22" s="31"/>
      <c r="H22" s="31"/>
      <c r="I22" s="31"/>
      <c r="J22" s="31"/>
      <c r="K22" s="31"/>
      <c r="L22" s="13"/>
    </row>
    <row r="23" spans="1:12" ht="20.100000000000001" customHeight="1" x14ac:dyDescent="0.2">
      <c r="A23" s="73"/>
      <c r="B23" s="70"/>
      <c r="C23" s="81" t="s">
        <v>57</v>
      </c>
      <c r="D23" s="82"/>
      <c r="E23" s="82"/>
      <c r="F23" s="31" t="str">
        <f>IF(共通情報!B29="(空欄)", "", 共通情報!B29)</f>
        <v/>
      </c>
      <c r="G23" s="31"/>
      <c r="H23" s="31"/>
      <c r="I23" s="31"/>
      <c r="J23" s="31"/>
      <c r="K23" s="31"/>
      <c r="L23" s="13"/>
    </row>
    <row r="24" spans="1:12" ht="20.100000000000001" customHeight="1" x14ac:dyDescent="0.2">
      <c r="A24" s="73"/>
      <c r="B24" s="70"/>
      <c r="C24" s="87" t="str">
        <f>IF(共通情報!B39=0,"",共通情報!B39)</f>
        <v/>
      </c>
      <c r="D24" s="88"/>
      <c r="E24" s="88"/>
      <c r="F24" s="88"/>
      <c r="G24" s="88"/>
      <c r="H24" s="88"/>
      <c r="I24" s="88"/>
      <c r="J24" s="88"/>
      <c r="K24" s="88"/>
      <c r="L24" s="89"/>
    </row>
    <row r="25" spans="1:12" ht="20.100000000000001" customHeight="1" thickBot="1" x14ac:dyDescent="0.25">
      <c r="A25" s="73"/>
      <c r="B25" s="71"/>
      <c r="C25" s="90"/>
      <c r="D25" s="91"/>
      <c r="E25" s="91"/>
      <c r="F25" s="91"/>
      <c r="G25" s="91"/>
      <c r="H25" s="91"/>
      <c r="I25" s="91"/>
      <c r="J25" s="91"/>
      <c r="K25" s="91"/>
      <c r="L25" s="92"/>
    </row>
    <row r="26" spans="1:12" ht="20.100000000000001" customHeight="1" thickBot="1" x14ac:dyDescent="0.25">
      <c r="A26" s="73"/>
      <c r="B26" s="69" t="s">
        <v>49</v>
      </c>
      <c r="C26" s="17" t="str">
        <f>IF(共通情報!B30=TRUE, "非喫煙者である", IF(AND(共通情報!B30=FALSE, 共通情報!B31=TRUE), "禁煙の実施方法等を指示", "喫煙していれば禁煙を指示"))</f>
        <v>喫煙していれば禁煙を指示</v>
      </c>
      <c r="D26" s="18"/>
      <c r="E26" s="18"/>
      <c r="F26" s="18"/>
      <c r="G26" s="18"/>
      <c r="H26" s="18"/>
      <c r="I26" s="18"/>
      <c r="J26" s="18"/>
      <c r="K26" s="18"/>
      <c r="L26" s="19"/>
    </row>
    <row r="27" spans="1:12" ht="20.100000000000001" customHeight="1" thickBot="1" x14ac:dyDescent="0.25">
      <c r="A27" s="73"/>
      <c r="B27" s="71"/>
      <c r="C27" s="20"/>
      <c r="D27" s="15"/>
      <c r="E27" s="15"/>
      <c r="F27" s="15"/>
      <c r="G27" s="15"/>
      <c r="H27" s="15"/>
      <c r="I27" s="15"/>
      <c r="J27" s="15"/>
      <c r="K27" s="15"/>
      <c r="L27" s="16"/>
    </row>
    <row r="28" spans="1:12" ht="20.100000000000001" customHeight="1" thickBot="1" x14ac:dyDescent="0.25">
      <c r="A28" s="73"/>
      <c r="B28" s="69" t="s">
        <v>50</v>
      </c>
      <c r="C28" s="12" t="str">
        <f>共通情報!B32</f>
        <v/>
      </c>
      <c r="D28" s="12"/>
      <c r="E28" s="12"/>
      <c r="F28" s="12"/>
      <c r="G28" s="12" t="str">
        <f>共通情報!B33</f>
        <v/>
      </c>
      <c r="H28" s="12"/>
      <c r="I28" s="12"/>
      <c r="J28" s="12"/>
      <c r="K28" s="12"/>
      <c r="L28" s="13"/>
    </row>
    <row r="29" spans="1:12" ht="20.100000000000001" customHeight="1" x14ac:dyDescent="0.2">
      <c r="A29" s="73"/>
      <c r="B29" s="70"/>
      <c r="C29" s="21" t="s">
        <v>93</v>
      </c>
      <c r="D29" s="40" t="str">
        <f>IF(共通情報!B34=TRUE, "☑眼科",  "□眼科")</f>
        <v>□眼科</v>
      </c>
      <c r="E29" s="40" t="str">
        <f>IF(共通情報!B35=TRUE, "☑歯科",  "□歯科")</f>
        <v>□歯科</v>
      </c>
      <c r="F29" s="12" t="str">
        <f>IF(共通情報!B36=TRUE, "☑がん検診",  "□がん検診")</f>
        <v>□がん検診</v>
      </c>
      <c r="H29" s="12"/>
      <c r="I29" s="12"/>
      <c r="J29" s="12"/>
      <c r="K29" s="12"/>
      <c r="L29" s="13"/>
    </row>
    <row r="30" spans="1:12" ht="20.100000000000001" customHeight="1" thickBot="1" x14ac:dyDescent="0.25">
      <c r="A30" s="76"/>
      <c r="B30" s="71"/>
      <c r="C30" s="12"/>
      <c r="D30" s="12"/>
      <c r="E30" s="12"/>
      <c r="F30" s="12"/>
      <c r="G30" s="12"/>
      <c r="H30" s="12"/>
      <c r="I30" s="12"/>
      <c r="J30" s="12"/>
      <c r="K30" s="12"/>
      <c r="L30" s="13"/>
    </row>
    <row r="31" spans="1:12" ht="20.100000000000001" customHeight="1" thickBot="1" x14ac:dyDescent="0.25">
      <c r="A31" s="72" t="s">
        <v>65</v>
      </c>
      <c r="B31" s="3"/>
      <c r="C31" s="3"/>
      <c r="D31" s="3"/>
      <c r="E31" s="3"/>
      <c r="F31" s="3"/>
      <c r="G31" s="3"/>
      <c r="H31" s="3"/>
      <c r="I31" s="3"/>
      <c r="J31" s="3"/>
      <c r="K31" s="3"/>
      <c r="L31" s="4"/>
    </row>
    <row r="32" spans="1:12" ht="20.100000000000001" customHeight="1" thickTop="1" x14ac:dyDescent="0.2">
      <c r="A32" s="73"/>
      <c r="B32" s="21" t="s">
        <v>58</v>
      </c>
      <c r="L32" s="2"/>
    </row>
    <row r="33" spans="1:12" ht="20.100000000000001" customHeight="1" thickBot="1" x14ac:dyDescent="0.25">
      <c r="A33" s="74"/>
      <c r="B33" s="5"/>
      <c r="C33" s="5"/>
      <c r="D33" s="5"/>
      <c r="E33" s="5"/>
      <c r="F33" s="5"/>
      <c r="G33" s="5"/>
      <c r="H33" s="5"/>
      <c r="I33" s="5"/>
      <c r="J33" s="5"/>
      <c r="K33" s="5"/>
      <c r="L33" s="6"/>
    </row>
    <row r="34" spans="1:12" ht="17.25" customHeight="1" thickTop="1" x14ac:dyDescent="0.2"/>
    <row r="35" spans="1:12" s="12" customFormat="1" ht="39.9" customHeight="1" x14ac:dyDescent="0.2">
      <c r="A35" s="93"/>
      <c r="F35" s="41"/>
      <c r="G35" s="77" t="s">
        <v>51</v>
      </c>
      <c r="H35" s="78"/>
      <c r="I35" s="79" t="str">
        <f>共通情報!B9</f>
        <v/>
      </c>
      <c r="J35" s="79"/>
      <c r="K35" s="79"/>
      <c r="L35" s="80"/>
    </row>
    <row r="36" spans="1:12" ht="17.25" customHeight="1" x14ac:dyDescent="0.2"/>
    <row r="37" spans="1:12" ht="26.25" customHeight="1" x14ac:dyDescent="0.2">
      <c r="A37" s="28"/>
      <c r="B37" s="12"/>
      <c r="C37" s="12"/>
      <c r="D37" s="12"/>
      <c r="E37" s="12"/>
      <c r="F37" s="12"/>
      <c r="G37" s="12"/>
      <c r="H37" s="12"/>
      <c r="I37" s="12"/>
      <c r="J37" s="12"/>
      <c r="K37" s="12"/>
      <c r="L37" s="12"/>
    </row>
    <row r="38" spans="1:12" x14ac:dyDescent="0.2">
      <c r="J38" s="1" t="s">
        <v>60</v>
      </c>
    </row>
  </sheetData>
  <mergeCells count="22">
    <mergeCell ref="F4:G4"/>
    <mergeCell ref="J4:L4"/>
    <mergeCell ref="A5:B5"/>
    <mergeCell ref="C5:D5"/>
    <mergeCell ref="F5:G5"/>
    <mergeCell ref="I5:I6"/>
    <mergeCell ref="J5:L6"/>
    <mergeCell ref="C6:D6"/>
    <mergeCell ref="N9:O10"/>
    <mergeCell ref="A16:A30"/>
    <mergeCell ref="B16:B19"/>
    <mergeCell ref="B20:B25"/>
    <mergeCell ref="C23:E23"/>
    <mergeCell ref="B26:B27"/>
    <mergeCell ref="B28:B30"/>
    <mergeCell ref="A8:L8"/>
    <mergeCell ref="A31:A33"/>
    <mergeCell ref="G35:H35"/>
    <mergeCell ref="I35:L35"/>
    <mergeCell ref="C18:L19"/>
    <mergeCell ref="C24:L25"/>
    <mergeCell ref="A9:A15"/>
  </mergeCells>
  <phoneticPr fontId="1"/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ボタン1_Click">
                <anchor moveWithCells="1" sizeWithCells="1">
                  <from>
                    <xdr:col>13</xdr:col>
                    <xdr:colOff>7620</xdr:colOff>
                    <xdr:row>7</xdr:row>
                    <xdr:rowOff>251460</xdr:rowOff>
                  </from>
                  <to>
                    <xdr:col>15</xdr:col>
                    <xdr:colOff>30480</xdr:colOff>
                    <xdr:row>9</xdr:row>
                    <xdr:rowOff>243840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ボタン2_Click">
                <anchor moveWithCells="1" sizeWithCells="1">
                  <from>
                    <xdr:col>12</xdr:col>
                    <xdr:colOff>601980</xdr:colOff>
                    <xdr:row>11</xdr:row>
                    <xdr:rowOff>0</xdr:rowOff>
                  </from>
                  <to>
                    <xdr:col>15</xdr:col>
                    <xdr:colOff>7620</xdr:colOff>
                    <xdr:row>13</xdr:row>
                    <xdr:rowOff>22860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3</vt:i4>
      </vt:variant>
      <vt:variant>
        <vt:lpstr>名前付き一覧</vt:lpstr>
      </vt:variant>
      <vt:variant>
        <vt:i4>2</vt:i4>
      </vt:variant>
    </vt:vector>
  </HeadingPairs>
  <TitlesOfParts>
    <vt:vector size="5" baseType="lpstr">
      <vt:lpstr>共通情報</vt:lpstr>
      <vt:lpstr>初回用</vt:lpstr>
      <vt:lpstr>継続用</vt:lpstr>
      <vt:lpstr>継続用!Print_Area</vt:lpstr>
      <vt:lpstr>初回用!Print_Area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正治 本多</dc:creator>
  <cp:lastModifiedBy>康宏 岡本</cp:lastModifiedBy>
  <cp:lastPrinted>2026-05-13T10:04:58Z</cp:lastPrinted>
  <dcterms:created xsi:type="dcterms:W3CDTF">2024-03-22T06:11:42Z</dcterms:created>
  <dcterms:modified xsi:type="dcterms:W3CDTF">2026-05-13T10:10:47Z</dcterms:modified>
</cp:coreProperties>
</file>